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1545774\Documents\GitHub\USOS_shared\F0AM-4.3.0.1\Chem\"/>
    </mc:Choice>
  </mc:AlternateContent>
  <xr:revisionPtr revIDLastSave="0" documentId="13_ncr:1_{60932FCD-F741-4CF4-AA22-69CF95818D79}" xr6:coauthVersionLast="47" xr6:coauthVersionMax="47" xr10:uidLastSave="{00000000-0000-0000-0000-000000000000}"/>
  <bookViews>
    <workbookView xWindow="57480" yWindow="-315" windowWidth="29040" windowHeight="15720" firstSheet="5" activeTab="8" xr2:uid="{08BB61AC-5A18-114D-9375-14B9AF90892A}"/>
  </bookViews>
  <sheets>
    <sheet name="F0AM_InitConc" sheetId="2" r:id="rId1"/>
    <sheet name="voc reactivity" sheetId="3" r:id="rId2"/>
    <sheet name="comptox search for cracmm vocs" sheetId="4" r:id="rId3"/>
    <sheet name="F0AM CRACMM voc speciation" sheetId="10" r:id="rId4"/>
    <sheet name="CRACMM VOCs" sheetId="12" r:id="rId5"/>
    <sheet name="CRACMM VOC Reactivity" sheetId="7" r:id="rId6"/>
    <sheet name="JPL kOH rates" sheetId="5" r:id="rId7"/>
    <sheet name="CRACMM kOH" sheetId="6" r:id="rId8"/>
    <sheet name="F0AM_new_constraints" sheetId="9" r:id="rId9"/>
    <sheet name="Sheet2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2" i="4"/>
  <c r="G3" i="4"/>
  <c r="G5" i="4"/>
  <c r="G6" i="4"/>
  <c r="F3" i="4"/>
  <c r="F4" i="4"/>
  <c r="G4" i="4" s="1"/>
  <c r="F5" i="4"/>
  <c r="F6" i="4"/>
  <c r="F7" i="4"/>
  <c r="G7" i="4" s="1"/>
  <c r="F8" i="4"/>
  <c r="G8" i="4" s="1"/>
  <c r="F2" i="4"/>
  <c r="G2" i="4" s="1"/>
</calcChain>
</file>

<file path=xl/sharedStrings.xml><?xml version="1.0" encoding="utf-8"?>
<sst xmlns="http://schemas.openxmlformats.org/spreadsheetml/2006/main" count="1339" uniqueCount="559">
  <si>
    <t>CB6r5h</t>
  </si>
  <si>
    <t>CRACMM</t>
  </si>
  <si>
    <t>InChI</t>
  </si>
  <si>
    <t>SMILES</t>
  </si>
  <si>
    <t>InChI=1S/O3/c1-3-2</t>
  </si>
  <si>
    <t>O3</t>
  </si>
  <si>
    <t>Ozone</t>
  </si>
  <si>
    <t>Carbon Monoxide</t>
  </si>
  <si>
    <t>Dimethyl sulfide</t>
  </si>
  <si>
    <t>DMS</t>
  </si>
  <si>
    <t>InChI=1S/C2H6S/c1-3-2/h1-2H3</t>
  </si>
  <si>
    <t>CO</t>
  </si>
  <si>
    <t>InChI=1S/CO/c1-2</t>
  </si>
  <si>
    <t>NO</t>
  </si>
  <si>
    <t>NO2</t>
  </si>
  <si>
    <t>HONO</t>
  </si>
  <si>
    <t>HNO3</t>
  </si>
  <si>
    <t>PAN</t>
  </si>
  <si>
    <t>PANX</t>
  </si>
  <si>
    <t>ISOP</t>
  </si>
  <si>
    <t>TERP</t>
  </si>
  <si>
    <t>CH4</t>
  </si>
  <si>
    <t>BENZ</t>
  </si>
  <si>
    <t>TOL</t>
  </si>
  <si>
    <t>MEOH</t>
  </si>
  <si>
    <t>ALD2</t>
  </si>
  <si>
    <t>ETOH</t>
  </si>
  <si>
    <t>FORM</t>
  </si>
  <si>
    <t>FACD</t>
  </si>
  <si>
    <t>CLN2</t>
  </si>
  <si>
    <t>BRCL</t>
  </si>
  <si>
    <t>BR2</t>
  </si>
  <si>
    <t>CL2</t>
  </si>
  <si>
    <t>BRO</t>
  </si>
  <si>
    <t>InChI=1S/NO/c1-2</t>
  </si>
  <si>
    <t>InChI=1S/NO2/c2-1-3</t>
  </si>
  <si>
    <t>InChI=1S/HNO2/c2-1-3/h(H,2,3)</t>
  </si>
  <si>
    <t>Nitrous acid</t>
  </si>
  <si>
    <t>Nitric oxide</t>
  </si>
  <si>
    <t>Nitrogen dioxide</t>
  </si>
  <si>
    <t>Nitric acid</t>
  </si>
  <si>
    <t>InChI=1S/HNO3/c2-1(3)4/h(H,2,3,4)</t>
  </si>
  <si>
    <t>Peroxyacetyl Nitrate</t>
  </si>
  <si>
    <t>InChI=1S/C2H3NO5/c1-2(4)7-8-3(5)6/h1H3</t>
  </si>
  <si>
    <t>Larger alkyl peroxyacyl nitrates (from CXO3)</t>
  </si>
  <si>
    <t>InChI=1S/C3H5NO5/c1-2-3(5)8-9-4(6)7/h2H2,1H3</t>
  </si>
  <si>
    <t>Isoprene</t>
  </si>
  <si>
    <t>InChI=1S/C5H8/c1-4-5(2)3/h4H,1-2H2,3H3</t>
  </si>
  <si>
    <t>Monoterpenes</t>
  </si>
  <si>
    <t>Methane</t>
  </si>
  <si>
    <t>InChI=1S/CH4/h1H4</t>
  </si>
  <si>
    <t>Benzene</t>
  </si>
  <si>
    <t>InChI=1S/C6H6/c1-2-4-6-5-3-1/h1-6H</t>
  </si>
  <si>
    <t>InChI=1S/C7H8/c1-7-5-3-2-4-6-7/h2-6H,1H3</t>
  </si>
  <si>
    <t>Toluene and other monoalkyl aromatics</t>
  </si>
  <si>
    <t>Methanol</t>
  </si>
  <si>
    <t>InChI=1S/CH4O/c1-2/h2H,1H3</t>
  </si>
  <si>
    <t>Acetaldehyde</t>
  </si>
  <si>
    <t>InChI=1S/C2H4O/c1-2-3/h2H,1H3</t>
  </si>
  <si>
    <t>Ethanol</t>
  </si>
  <si>
    <t>InChI=1S/C2H6O/c1-2-3/h3H,2H2,1H3</t>
  </si>
  <si>
    <t>Formaldehyde</t>
  </si>
  <si>
    <t>InChI=1S/CH2O/c1-2/h1H2</t>
  </si>
  <si>
    <t>Formic acid</t>
  </si>
  <si>
    <t>InChI=1S/CH2O2/c2-1-3/h1H,(H,2,3)</t>
  </si>
  <si>
    <t>Molecular bromine</t>
  </si>
  <si>
    <t>InChI=1S/Br2/c1-2</t>
  </si>
  <si>
    <t>InChI=1S/Cl2/c1-2</t>
  </si>
  <si>
    <t>Molecular chlorine</t>
  </si>
  <si>
    <t>Nitryl chloride</t>
  </si>
  <si>
    <t>InChI=1S/ClNO2/c1-4-2-3</t>
  </si>
  <si>
    <t>Bromine monochloride</t>
  </si>
  <si>
    <t>InChI=1S/BrCl/c1-2</t>
  </si>
  <si>
    <t>Bromine monoxide</t>
  </si>
  <si>
    <t>InChI=1S/BrO/c1-2</t>
  </si>
  <si>
    <t>HCHO</t>
  </si>
  <si>
    <t>C=O</t>
  </si>
  <si>
    <t>[O-][O+]=O</t>
  </si>
  <si>
    <t>[N]=O</t>
  </si>
  <si>
    <t>[C-]#[O+]</t>
  </si>
  <si>
    <t>CSC</t>
  </si>
  <si>
    <t>PPN</t>
  </si>
  <si>
    <t>PPN_CIMS</t>
  </si>
  <si>
    <t>PAN_CIMS</t>
  </si>
  <si>
    <t>HNO3_CIMS</t>
  </si>
  <si>
    <t>HONO_CIMS</t>
  </si>
  <si>
    <t>NO2_LIF</t>
  </si>
  <si>
    <t>NO_LIF</t>
  </si>
  <si>
    <t>DMS_PTR</t>
  </si>
  <si>
    <t>CO_Piccaro</t>
  </si>
  <si>
    <t>O3_ppbv</t>
  </si>
  <si>
    <t>Isoprene_PTR</t>
  </si>
  <si>
    <t>Monoterpenes_PTR</t>
  </si>
  <si>
    <t>CH4_Piccaro</t>
  </si>
  <si>
    <t>Benzene_PTR</t>
  </si>
  <si>
    <t>Toluene_PTR</t>
  </si>
  <si>
    <t>Acetaldehyde_PTR</t>
  </si>
  <si>
    <t>Ethanol_PTR</t>
  </si>
  <si>
    <t>HCHO_CRDS</t>
  </si>
  <si>
    <t>HCOOH_CIMS</t>
  </si>
  <si>
    <t>Methanol_PTR</t>
  </si>
  <si>
    <t>ClNO2_CIMS</t>
  </si>
  <si>
    <t>Br2_CIMS</t>
  </si>
  <si>
    <t>Cl2_CIMS</t>
  </si>
  <si>
    <t>BrCl_CIMS</t>
  </si>
  <si>
    <t>BrO_CIMS</t>
  </si>
  <si>
    <t>BEN</t>
  </si>
  <si>
    <t>MOH</t>
  </si>
  <si>
    <t>ACD</t>
  </si>
  <si>
    <t>EOH</t>
  </si>
  <si>
    <t>ORA1</t>
  </si>
  <si>
    <t>N2O5</t>
  </si>
  <si>
    <t>N2O5_CIMS</t>
  </si>
  <si>
    <t>Styrene_PTR</t>
  </si>
  <si>
    <t>STY</t>
  </si>
  <si>
    <t>Acrolein_PTR</t>
  </si>
  <si>
    <t>ACRO</t>
  </si>
  <si>
    <t>HC5</t>
  </si>
  <si>
    <t>Naphthalene</t>
  </si>
  <si>
    <t>Naphthalene_PTR</t>
  </si>
  <si>
    <t>NAPH</t>
  </si>
  <si>
    <t>Octanal_PTR</t>
  </si>
  <si>
    <t>ALD</t>
  </si>
  <si>
    <t>Nonanal_PTR</t>
  </si>
  <si>
    <t>Octanal</t>
  </si>
  <si>
    <t>Nonanal</t>
  </si>
  <si>
    <t>Acrolein</t>
  </si>
  <si>
    <t>Styrene</t>
  </si>
  <si>
    <t>MVK_MACR_PTR</t>
  </si>
  <si>
    <t>MVK, MACR</t>
  </si>
  <si>
    <t>Nitrogen pentoxide</t>
  </si>
  <si>
    <t>intermediary, no constraint</t>
  </si>
  <si>
    <t>N</t>
  </si>
  <si>
    <t>Y</t>
  </si>
  <si>
    <t>maybe don't constrain</t>
  </si>
  <si>
    <t>depends on if it's a significant proportion</t>
  </si>
  <si>
    <t>Primary</t>
  </si>
  <si>
    <t>N(=O)[O]</t>
  </si>
  <si>
    <t>N(=O)O</t>
  </si>
  <si>
    <t>[N+](=O)(O)[O-]</t>
  </si>
  <si>
    <t>CC(=O)OO[N+](=O)[O-]</t>
  </si>
  <si>
    <t>CCC(=O)OO[N+](=O)[O-]</t>
  </si>
  <si>
    <t>IUPAC_Name</t>
  </si>
  <si>
    <t>USOS_Variable</t>
  </si>
  <si>
    <t>CB6r5h_Species_Name</t>
  </si>
  <si>
    <t>nitro propaneperoxoate</t>
  </si>
  <si>
    <t>nitro ethaneperoxoate</t>
  </si>
  <si>
    <t>Common_Name</t>
  </si>
  <si>
    <t>nitric acid</t>
  </si>
  <si>
    <t>nitrous acid</t>
  </si>
  <si>
    <t>nitric oxide</t>
  </si>
  <si>
    <t>nitrogen dioxide</t>
  </si>
  <si>
    <t>methylsulfanylmethane</t>
  </si>
  <si>
    <t>carbon monoxide</t>
  </si>
  <si>
    <t>ozone</t>
  </si>
  <si>
    <t>2-methylbuta-1,3-diene</t>
  </si>
  <si>
    <t>methane</t>
  </si>
  <si>
    <t>benzene</t>
  </si>
  <si>
    <t>toluene</t>
  </si>
  <si>
    <t>methanol</t>
  </si>
  <si>
    <t>CC1=CC=CC=C1</t>
  </si>
  <si>
    <t>C1=CC=CC=C1</t>
  </si>
  <si>
    <t>C</t>
  </si>
  <si>
    <t>CC(=C)C=C</t>
  </si>
  <si>
    <t>acetaldehyde</t>
  </si>
  <si>
    <t>CC=O</t>
  </si>
  <si>
    <t>ethanol</t>
  </si>
  <si>
    <t>CCO</t>
  </si>
  <si>
    <t>formaldehyde</t>
  </si>
  <si>
    <t>formic acid</t>
  </si>
  <si>
    <t>C(=O)O</t>
  </si>
  <si>
    <t>molecular bromine</t>
  </si>
  <si>
    <t>BrBr</t>
  </si>
  <si>
    <t>molecular chlorine</t>
  </si>
  <si>
    <t>ClCl</t>
  </si>
  <si>
    <t>chloro nitrite</t>
  </si>
  <si>
    <t>N(=O)Ocl</t>
  </si>
  <si>
    <t>ClBr</t>
  </si>
  <si>
    <t>bromine</t>
  </si>
  <si>
    <t>chlorine</t>
  </si>
  <si>
    <t>bromine chloride, bromine monochloride, bromochloride</t>
  </si>
  <si>
    <t>monoterpenes</t>
  </si>
  <si>
    <t>acetaldehyde, ethanal</t>
  </si>
  <si>
    <t>ethanol, ethyl alcohol</t>
  </si>
  <si>
    <t>peroxyacetyl nitrate</t>
  </si>
  <si>
    <t>peroxypropionyl nitrate</t>
  </si>
  <si>
    <t>nitrogen dioxide, nitrogen peroxide</t>
  </si>
  <si>
    <t>nitric oxide, nitrogen monoxide</t>
  </si>
  <si>
    <t>dimethyl sulfide</t>
  </si>
  <si>
    <t>[O]Br</t>
  </si>
  <si>
    <t>bromine monoxide, bromine oxide</t>
  </si>
  <si>
    <t>nitro nitrate</t>
  </si>
  <si>
    <t>dinitrogen pentaoxide, nitrogen pentoxide</t>
  </si>
  <si>
    <t>[N+](=O)([O-])O[N+](=O)[O-]</t>
  </si>
  <si>
    <t>InChI=1S/N2O5/c3-1(4)7-2(5)6</t>
  </si>
  <si>
    <t xml:space="preserve">C=CC1=CC=CC=C1 </t>
  </si>
  <si>
    <t>InChI=1S/C8H8/c1-2-8-6-4-3-5-7-8/h2-7H,1H2</t>
  </si>
  <si>
    <t>styrene</t>
  </si>
  <si>
    <t>acrolein</t>
  </si>
  <si>
    <t>C=CC=O</t>
  </si>
  <si>
    <t>InChI=1S/C3H4O/c1-2-3-4/h2-3H,1H2</t>
  </si>
  <si>
    <t>naphthalene</t>
  </si>
  <si>
    <t>C1=CC=C2C=CC=CC2=C1</t>
  </si>
  <si>
    <t>InChI=1S/C10H8/c1-2-6-10-8-4-3-7-9(10)5-1/h1-8H</t>
  </si>
  <si>
    <t>octanal</t>
  </si>
  <si>
    <t>CCCCCCCC=O</t>
  </si>
  <si>
    <t>InChI=1S/C8H16O/c1-2-3-4-5-6-7-8-9/h8H,2-7H2,1H3</t>
  </si>
  <si>
    <t>CCCCCCCCC=O</t>
  </si>
  <si>
    <t>InChI=1S/C9H18O/c1-2-3-4-5-6-7-8-9-10/h9H,2-8H2,1H3</t>
  </si>
  <si>
    <t>nonanal</t>
  </si>
  <si>
    <t>Methanethiol_PTR</t>
  </si>
  <si>
    <t>methanethiol</t>
  </si>
  <si>
    <t>InChI=1S/CH4S/c1-2/h2H,1H3</t>
  </si>
  <si>
    <t>CS</t>
  </si>
  <si>
    <t>USOS_Notes</t>
  </si>
  <si>
    <t>sum of methyl vinyl ketone, methacrolein, small amounts of crotonaldehyde; using weighted calibration factor for MVK (0.637) and MACR (0.363)</t>
  </si>
  <si>
    <t>methyl vinyl ketone; methacrolein; crotonaldehyde</t>
  </si>
  <si>
    <t>but-3-en-2-one; 2-methylprop-2-enal; (E)-but-2-enal</t>
  </si>
  <si>
    <t>CC(=O)C=C;CC(=C)C=O;C/C=C/C=O</t>
  </si>
  <si>
    <t>InChI=1S/C4H6O/c1-3-4(2)5/h3H,1H2,2H3;InChI=1S/C4H6O/c1-4(2)3-5/h3H,1H2,2H3;InChI=1S/C4H6O/c1-2-3-4-5/h2-4H,1H3/b3-2+</t>
  </si>
  <si>
    <t>isoprene</t>
  </si>
  <si>
    <t>HC10</t>
  </si>
  <si>
    <t>Benzaldehyde_PTR</t>
  </si>
  <si>
    <t>BALD</t>
  </si>
  <si>
    <t>CRACMM lumped?</t>
  </si>
  <si>
    <t>2-propenal</t>
  </si>
  <si>
    <t>aromatic hydrocarbon</t>
  </si>
  <si>
    <t>API,LIM</t>
  </si>
  <si>
    <t>CLNO2</t>
  </si>
  <si>
    <t>aromatic aldehyde</t>
  </si>
  <si>
    <t>benzaldehyde</t>
  </si>
  <si>
    <t>InChI=1S/C7H6O/c8-6-7-4-2-1-3-5-7/h1-6H</t>
  </si>
  <si>
    <t>C1=CC=C(C=C1)C=O</t>
  </si>
  <si>
    <t>Acetonitrile_PTR</t>
  </si>
  <si>
    <t>SLOWROC</t>
  </si>
  <si>
    <t>CRACMM Notes</t>
  </si>
  <si>
    <t>GEOS-Chem</t>
  </si>
  <si>
    <t>HNO2</t>
  </si>
  <si>
    <t>MTPA</t>
  </si>
  <si>
    <t>GEOS-Chem Notes</t>
  </si>
  <si>
    <t>MTPO?</t>
  </si>
  <si>
    <t>TOLU</t>
  </si>
  <si>
    <t>CH2O</t>
  </si>
  <si>
    <t>HCOOH</t>
  </si>
  <si>
    <t>Br2</t>
  </si>
  <si>
    <t>Cl2</t>
  </si>
  <si>
    <t>nitryl chloride, chlorine nitrite</t>
  </si>
  <si>
    <t>ClNO2</t>
  </si>
  <si>
    <t>BrCl</t>
  </si>
  <si>
    <t>BrO</t>
  </si>
  <si>
    <t>GEOS-Chem Explicit?</t>
  </si>
  <si>
    <t>InChI=1S/C10H16/c1-7-4-5-8-6-9(7)10(8,2)3/h4,8-9H,5-6H2,1-3H3;InChI=1S/C10H16/c1-7-4-5-8-6-9(7)10(8,2)3/h8-9H,1,4-6H2,2-3H3;InChI=1S/C10H16/c1-7(2)10-5-4-8(3)9(10)6-10/h7,9H,3-6H2,1-2H3;InChI=1S/C10H16/c1-7-4-5-8-9(6-7)10(8,2)3/h4,8-9H,5-6H2,1-3H3</t>
  </si>
  <si>
    <t>STYR</t>
  </si>
  <si>
    <t>ACR</t>
  </si>
  <si>
    <t>NAP</t>
  </si>
  <si>
    <t>MVK,MACR</t>
  </si>
  <si>
    <t>InChI=1S/C2H3N/c1-2-3/h1H3</t>
  </si>
  <si>
    <t>CC#N</t>
  </si>
  <si>
    <t>Paper for Primary</t>
  </si>
  <si>
    <t xml:space="preserve"> https://doi.org/10.1029/JD091iD03p04003</t>
  </si>
  <si>
    <t>acetonitrile</t>
  </si>
  <si>
    <t>https://www.atsdr.cdc.gov/toxprofiles/tp67-c1.pdf</t>
  </si>
  <si>
    <t>Concentration of Methanol (CH3OH) in ambient air</t>
  </si>
  <si>
    <t>Concentration of Acetonitrile (CH3CN) in ambient air</t>
  </si>
  <si>
    <t>Concentration of Ethanol (C2H5OH) in ambient air</t>
  </si>
  <si>
    <t xml:space="preserve">Concentration of Methanethiol (CH3SH) in ambient air, calibrated using factor for DMS. </t>
  </si>
  <si>
    <t>Concentration of Acrolein (C3H4O) in ambient air</t>
  </si>
  <si>
    <t>Concentration of Benzene (C6H6) in ambient air</t>
  </si>
  <si>
    <t>Concentration of Styrene (C8H8) in ambient air</t>
  </si>
  <si>
    <t>Concentration of Benzaldehyde (C7H6O) in ambient air</t>
  </si>
  <si>
    <t>Concentration of Naphthalene (C10H8) in ambient air</t>
  </si>
  <si>
    <t>Concentration of Decamethylcyclopentasiloxane (C10H30O5Si5) in ambient air</t>
  </si>
  <si>
    <t>D5_siloxane_PTR</t>
  </si>
  <si>
    <t>Concentration of Dimethyl sulfide (DMS) (C2H6S) with possible small contributions from ethanethiol in ambient air</t>
  </si>
  <si>
    <t>Concentration of Isoprene (C5H8)  in ambient air and possible fragments from cycloalkanes and aldehydes. Interferences have been subtracted following methods described by Coggon et al (2023)</t>
  </si>
  <si>
    <t>Concentration of Octanal (C8H16O) and small amounts of octanone in ambient air</t>
  </si>
  <si>
    <t>Concentration of Nonanal (C9H18O) &amp; small amonts of nonaone in ambient air</t>
  </si>
  <si>
    <t>Concentration of Acetaldehyde (CH3CHO) plus contributions from ethylene glycol and ethylene oxide in ambient air. Interference from ethanol has been subtracted out.</t>
  </si>
  <si>
    <t>Total concentration of Acetone &amp; Propanal (C3H6O) in ambient air calibrated using calibration factor for acetone</t>
  </si>
  <si>
    <t>Acetone_Propanal_PTR</t>
  </si>
  <si>
    <t>Total Concentration of m-xylene  p-xylene  o-xylene  and ethyl benzene (C8H10) in ambient air</t>
  </si>
  <si>
    <t>C8Aromatics_PTR</t>
  </si>
  <si>
    <t>C9Aromatics_PTR</t>
  </si>
  <si>
    <t>Total concentration of all C9 Aromatics (C9H12) in ambient air</t>
  </si>
  <si>
    <t>Concentration of Para-chlorobenzotrifluoride (C7H4ClF3) in ambient air</t>
  </si>
  <si>
    <t>C7H4ClF3_PTR</t>
  </si>
  <si>
    <t>RCHO</t>
  </si>
  <si>
    <t>Lumped aldehyde &gt;= C3</t>
  </si>
  <si>
    <t>ACET,RCHO</t>
  </si>
  <si>
    <t>XYL,EBZ</t>
  </si>
  <si>
    <t>ACT,ALD</t>
  </si>
  <si>
    <t>XYL</t>
  </si>
  <si>
    <t>InChI Key</t>
  </si>
  <si>
    <t>Propanal</t>
  </si>
  <si>
    <t>kOH</t>
  </si>
  <si>
    <t>Vapor Pressure Experimental (mmHg)</t>
  </si>
  <si>
    <t>Vapor Pressure (Pa)</t>
  </si>
  <si>
    <t>Cstar</t>
  </si>
  <si>
    <t>mw (g/mol)</t>
  </si>
  <si>
    <t>log10Cstar</t>
  </si>
  <si>
    <t>CCC=O</t>
  </si>
  <si>
    <t>FC(F)(F)C1=CC=CC=C1Cl</t>
  </si>
  <si>
    <t>ALDX</t>
  </si>
  <si>
    <t>ISPD</t>
  </si>
  <si>
    <t>Isoprene product (methacrolein, methyl vinyl ketone, etc.)</t>
  </si>
  <si>
    <t>ACET,ALDX</t>
  </si>
  <si>
    <t>Concentration of Toluene (C7H8) in dry air</t>
  </si>
  <si>
    <t>Concentration of total Monoterpenes (C10H16) in ambient air with possible contributions from framents of oxygenated monoterpenoids such as eucalyptol</t>
  </si>
  <si>
    <t>3.3*10**-11</t>
  </si>
  <si>
    <t>JPL kOH: k(298 K)^b</t>
  </si>
  <si>
    <t>Temp Range of Exp Data (K)^a</t>
  </si>
  <si>
    <t>244-430</t>
  </si>
  <si>
    <t>9.9x10**-12</t>
  </si>
  <si>
    <t>E/R</t>
  </si>
  <si>
    <t>A-Factor</t>
  </si>
  <si>
    <t>f(298 K)^c</t>
  </si>
  <si>
    <t>g</t>
  </si>
  <si>
    <t>acetone</t>
  </si>
  <si>
    <t>242-1650</t>
  </si>
  <si>
    <t>Note</t>
  </si>
  <si>
    <t>216-498</t>
  </si>
  <si>
    <t>3.35x10**-12</t>
  </si>
  <si>
    <t>210-1350</t>
  </si>
  <si>
    <t>2.9x10**-12</t>
  </si>
  <si>
    <t>9.1x10**-13</t>
  </si>
  <si>
    <t>kOH bimolecular</t>
  </si>
  <si>
    <t>kOH termolecular</t>
  </si>
  <si>
    <t>k(T,[M])
298K, 1 Atm</t>
  </si>
  <si>
    <t>f(298 K)</t>
  </si>
  <si>
    <t>kCl termolecular</t>
  </si>
  <si>
    <t>Low Pressure Limit
ko(T) = ko^298 (T/298)^-n
ko^298 | n</t>
  </si>
  <si>
    <t>High Pressure Limit
k inf (T) = k inf^298 (T/298)^-m
ko^298 | n</t>
  </si>
  <si>
    <t>7.4x10**-12</t>
  </si>
  <si>
    <t>4.2x10**-28 | 7</t>
  </si>
  <si>
    <t>3.0x10^-31 | 6.24</t>
  </si>
  <si>
    <t>2.0x10**-10</t>
  </si>
  <si>
    <t>2.0x10**-10 | 1</t>
  </si>
  <si>
    <t>1.7x10**-10</t>
  </si>
  <si>
    <t>use k(T)=1.33x10**-13 + 3.82 x 10**-11 exp(-2000/T) cm^3 molecule^-1 s^-1</t>
  </si>
  <si>
    <t>kNO3 bimolecular</t>
  </si>
  <si>
    <t>CH3CHO</t>
  </si>
  <si>
    <t>263-433</t>
  </si>
  <si>
    <t>1.4x10**-12</t>
  </si>
  <si>
    <t>2.4x10**-15</t>
  </si>
  <si>
    <t>(CH3)2S</t>
  </si>
  <si>
    <t>CH3C(O)CH3</t>
  </si>
  <si>
    <t>CH3OH</t>
  </si>
  <si>
    <t>CH3CH2OH</t>
  </si>
  <si>
    <t>CH3SH</t>
  </si>
  <si>
    <t>254-367</t>
  </si>
  <si>
    <t>4.4x10**-13</t>
  </si>
  <si>
    <t>8.9x10**-13</t>
  </si>
  <si>
    <t>193-430</t>
  </si>
  <si>
    <t>1.2x10**-10</t>
  </si>
  <si>
    <t>methyl vinyl ketone</t>
  </si>
  <si>
    <t>CH2=C(CH3)CHO</t>
  </si>
  <si>
    <t>234-423</t>
  </si>
  <si>
    <t>9.6x10**-12</t>
  </si>
  <si>
    <t>3.2x10**-11</t>
  </si>
  <si>
    <t>methacrolein</t>
  </si>
  <si>
    <t>CH3C(O)CH=CH2</t>
  </si>
  <si>
    <t>232-424</t>
  </si>
  <si>
    <t>2.7x10**-12</t>
  </si>
  <si>
    <t>1.9x10**-11</t>
  </si>
  <si>
    <t>296-323</t>
  </si>
  <si>
    <t>&lt;4x10**-16</t>
  </si>
  <si>
    <t>3.4x10**-15</t>
  </si>
  <si>
    <t>266-600</t>
  </si>
  <si>
    <t>9.6x10**-11</t>
  </si>
  <si>
    <t>kCl bimolecular</t>
  </si>
  <si>
    <t>200-573</t>
  </si>
  <si>
    <t>5.5x10**-11</t>
  </si>
  <si>
    <t>210-440</t>
  </si>
  <si>
    <t>1.63x10**-11</t>
  </si>
  <si>
    <t>2.1x10**-12</t>
  </si>
  <si>
    <t>296-298</t>
  </si>
  <si>
    <t>2.1x10**-10</t>
  </si>
  <si>
    <t>2.2x10**-10</t>
  </si>
  <si>
    <t>202-900</t>
  </si>
  <si>
    <t>4.63x10**-12</t>
  </si>
  <si>
    <t>1.5x10**-11</t>
  </si>
  <si>
    <t>CH3CN</t>
  </si>
  <si>
    <t>256-424</t>
  </si>
  <si>
    <t>7.8x10**-13</t>
  </si>
  <si>
    <t>2.3x10**-14</t>
  </si>
  <si>
    <t>274-728</t>
  </si>
  <si>
    <t>1.6x10**-11</t>
  </si>
  <si>
    <t>1.2x10**-14</t>
  </si>
  <si>
    <t>CRACMM Var Name</t>
  </si>
  <si>
    <t>Decamethylcyclopentasiloxane</t>
  </si>
  <si>
    <t>Concentration of Methane (CH4) in dry air</t>
  </si>
  <si>
    <t>methyl vinyl ketone, methacrolein, crotonaldehyde</t>
  </si>
  <si>
    <t>chlorobenzotrifluoride</t>
  </si>
  <si>
    <t>kOH rates from CRACMM Mech</t>
  </si>
  <si>
    <t>ACT, ALD</t>
  </si>
  <si>
    <t>XYL, EBZ</t>
  </si>
  <si>
    <t>C9 Aromatics</t>
  </si>
  <si>
    <t>2.3300E-11, 7.0000E-12</t>
  </si>
  <si>
    <t>kNO3 rates from CRACMM Mech</t>
  </si>
  <si>
    <t>kCl rates from CRACMM Mech</t>
  </si>
  <si>
    <t>ISO</t>
  </si>
  <si>
    <t>4.9000E-12.*exp(4.0500E+02./T)</t>
  </si>
  <si>
    <t>4.7000E-12.*exp(3.4500E+02./T)</t>
  </si>
  <si>
    <t>1.8100E-12.*exp(3.5400E+02./T)</t>
  </si>
  <si>
    <t>2.3300E-12.*exp(-1.9300E+02./T)</t>
  </si>
  <si>
    <t>1.2100E-11.*exp(4.4000E+02./T), 4.2000E-11.*exp(4.0100E+02./T)</t>
  </si>
  <si>
    <t>2.6900E-11.*exp(3.9000E+02./T)</t>
  </si>
  <si>
    <t>1.0100E-11.*exp(-2.4500E+02./T)</t>
  </si>
  <si>
    <t>2.4500E-12.*exp(-1.7750E+03./T)</t>
  </si>
  <si>
    <t>m-xylene, p-xylene, o-xylene, ethyl benzene</t>
  </si>
  <si>
    <t>5.3200E-12.*exp(2.4300E+02./T)</t>
  </si>
  <si>
    <t>2.8500E-12.*exp(-3.4500E+02./T)</t>
  </si>
  <si>
    <t>3.0000E-12.*exp(2.0000E+01./T)</t>
  </si>
  <si>
    <t>8.0000E-12.*exp(3.8000E+02./T)</t>
  </si>
  <si>
    <t>1.0200E-11.*exp(5.3200E+02./T)</t>
  </si>
  <si>
    <t>VROCIOXY</t>
  </si>
  <si>
    <t>4.5600E-14.*exp(-4.2700E+02./T).*(T./300).^(3.6500E+00), 4.9000E-12.*exp(4.0500E+02./T)</t>
  </si>
  <si>
    <t>2.6000E-12.*exp(6.1000E+02./T), 8.0000E-12.*exp(3.8000E+02./T)</t>
  </si>
  <si>
    <t>2.7000E-10.*exp(0.0000E+00./T)</t>
  </si>
  <si>
    <t>7.1000E-12.*exp(-1.2700E+03./T)</t>
  </si>
  <si>
    <t>2.4000E-10, 7.4000E-10</t>
  </si>
  <si>
    <t>5.5000E-11.*exp(0.0000E+00./T)</t>
  </si>
  <si>
    <t>8.0000E-11.*exp(0.0000E+00./T)</t>
  </si>
  <si>
    <t>6.0000E-11.*exp(  1.5500E+02./T)</t>
  </si>
  <si>
    <t>2.2300E-10.*exp(  0.0000E+00./T)</t>
  </si>
  <si>
    <t>2.8000E-11.*exp(4.5300E+02./T)</t>
  </si>
  <si>
    <t>2.0000E-10, 2.6000E-10</t>
  </si>
  <si>
    <t>2.6000E-11.*exp(-7.4500E+02./T), 2.8000E-11.*exp(4.5300E+02./T)</t>
  </si>
  <si>
    <t>1.4500E-10, 1.2900E-10</t>
  </si>
  <si>
    <t>, 5.7000E-16</t>
  </si>
  <si>
    <t>2.9500E-12.*exp(-4.5000E+02./T)</t>
  </si>
  <si>
    <t>1.1900E-12.*exp(4.9000E+02./T), 1.2200E-11</t>
  </si>
  <si>
    <t>1.4000E-12.*exp(-1.9000E+03./T)</t>
  </si>
  <si>
    <t>3.7600E-12.*exp(-1.9000E+03./T)</t>
  </si>
  <si>
    <t>, 3.4000E-15</t>
  </si>
  <si>
    <t>EBZ, TMB</t>
  </si>
  <si>
    <t>UDAQ_Variable</t>
  </si>
  <si>
    <t>acetylene</t>
  </si>
  <si>
    <t>C2H2</t>
  </si>
  <si>
    <t>C4H6</t>
  </si>
  <si>
    <t>ethylbenzene</t>
  </si>
  <si>
    <t>EBZ</t>
  </si>
  <si>
    <t>Ethylene</t>
  </si>
  <si>
    <t>Ethane</t>
  </si>
  <si>
    <t>Cyclohexane</t>
  </si>
  <si>
    <t>Methylcyclohexane</t>
  </si>
  <si>
    <t>Methylcyclopentane</t>
  </si>
  <si>
    <t>Propane</t>
  </si>
  <si>
    <t>Isobutane</t>
  </si>
  <si>
    <t>Isopentane</t>
  </si>
  <si>
    <t>Cyclopentane</t>
  </si>
  <si>
    <t>Propylene</t>
  </si>
  <si>
    <t>Isopropylbenzene</t>
  </si>
  <si>
    <t>C2H4</t>
  </si>
  <si>
    <t>C2H6</t>
  </si>
  <si>
    <t>ALK6</t>
  </si>
  <si>
    <t>C3H8</t>
  </si>
  <si>
    <t>ALK4</t>
  </si>
  <si>
    <t>PRPE</t>
  </si>
  <si>
    <t>XYLE</t>
  </si>
  <si>
    <t>TMB</t>
  </si>
  <si>
    <t>nHeptane</t>
  </si>
  <si>
    <t>nOctane</t>
  </si>
  <si>
    <t>nNonane</t>
  </si>
  <si>
    <t>nDecane</t>
  </si>
  <si>
    <t>x234_Trimethylpentane</t>
  </si>
  <si>
    <t>x3_Methylheptane</t>
  </si>
  <si>
    <t>nUndecane</t>
  </si>
  <si>
    <t>nButane</t>
  </si>
  <si>
    <t>x22_Dimethylbutane</t>
  </si>
  <si>
    <t>nPentane</t>
  </si>
  <si>
    <t>x3_Methylpentane</t>
  </si>
  <si>
    <t>nHexane</t>
  </si>
  <si>
    <t>x24_Dimethylpentane</t>
  </si>
  <si>
    <t>x23_Dimethylpentane</t>
  </si>
  <si>
    <t>x2_Methylpentane</t>
  </si>
  <si>
    <t>x23_Dimethylbutane</t>
  </si>
  <si>
    <t>x2_Methylhexane</t>
  </si>
  <si>
    <t>x3_Methylhexane</t>
  </si>
  <si>
    <t>buta13diene</t>
  </si>
  <si>
    <t>Pent1ene</t>
  </si>
  <si>
    <t>Hex1ene</t>
  </si>
  <si>
    <t>But1ene</t>
  </si>
  <si>
    <t>oXylene</t>
  </si>
  <si>
    <t>x135_Trimethylbenzene</t>
  </si>
  <si>
    <t>x124_Trimethylbenzene</t>
  </si>
  <si>
    <t>nPropylbenzene</t>
  </si>
  <si>
    <t>oEthyltoluene</t>
  </si>
  <si>
    <t>mEthyltoluene</t>
  </si>
  <si>
    <t>pEthyltoluene</t>
  </si>
  <si>
    <t>pDiethylbenzene</t>
  </si>
  <si>
    <t>x123_Trimethylbenzene</t>
  </si>
  <si>
    <t>trans2Butene</t>
  </si>
  <si>
    <t>trans2Pentene</t>
  </si>
  <si>
    <t>cis2Pentene</t>
  </si>
  <si>
    <t>cis2Butene</t>
  </si>
  <si>
    <t>mpXylene</t>
  </si>
  <si>
    <t>x224_Trimethylpentane</t>
  </si>
  <si>
    <t>ETH</t>
  </si>
  <si>
    <t>ETE</t>
  </si>
  <si>
    <t>HC3</t>
  </si>
  <si>
    <t>OLT</t>
  </si>
  <si>
    <t>ACE</t>
  </si>
  <si>
    <t>OLI</t>
  </si>
  <si>
    <t>BDE13</t>
  </si>
  <si>
    <t>CRACMM_Species_Name</t>
  </si>
  <si>
    <t>API</t>
  </si>
  <si>
    <t>LIM</t>
  </si>
  <si>
    <t>VOC Classification</t>
  </si>
  <si>
    <t>Monoterpene</t>
  </si>
  <si>
    <t>Aromatic</t>
  </si>
  <si>
    <t>Alcohol</t>
  </si>
  <si>
    <t>Aldehyde</t>
  </si>
  <si>
    <t>Carboxylic Acid</t>
  </si>
  <si>
    <t>Alkane, Ethane</t>
  </si>
  <si>
    <t>Aldehyde, Formaldehyde</t>
  </si>
  <si>
    <t>Alkene</t>
  </si>
  <si>
    <t>Diene</t>
  </si>
  <si>
    <t>Alkane</t>
  </si>
  <si>
    <t>2.6900E-11.*exp(  3.9000E+02./T)</t>
  </si>
  <si>
    <t>1.2100E-11.*exp(  4.4000E+02./T)</t>
  </si>
  <si>
    <t>4.2000E-11.*exp(  4.0100E+02./T)</t>
  </si>
  <si>
    <t>2.3300E-12.*exp( -1.9300E+02./T)</t>
  </si>
  <si>
    <t>1.8100E-12.*exp(  3.5400E+02./T)</t>
  </si>
  <si>
    <t>2.8500E-12.*exp( -3.4500E+02./T)</t>
  </si>
  <si>
    <t>4.7000E-12.*exp(  3.4500E+02./T)</t>
  </si>
  <si>
    <t>4.9000E-12.*exp(  4.0500E+02./T)</t>
  </si>
  <si>
    <t>Composition</t>
  </si>
  <si>
    <t>C3 and higher aldehydes</t>
  </si>
  <si>
    <t>ACT</t>
  </si>
  <si>
    <t>Ketone</t>
  </si>
  <si>
    <t>Acetone</t>
  </si>
  <si>
    <t>4.5600E-14.*exp( -4.2700E+02./T).*(T./300).^(  3.6500E+00 )</t>
  </si>
  <si>
    <t>3.0000E-12.*exp(  2.0000E+01./T)</t>
  </si>
  <si>
    <t>ROH</t>
  </si>
  <si>
    <t>C3 and higher alcohols</t>
  </si>
  <si>
    <t>2.6000E-12.*exp(  2.0000E+02./T)</t>
  </si>
  <si>
    <t>ETHA</t>
  </si>
  <si>
    <t>PRPA</t>
  </si>
  <si>
    <t>OLE+PAR</t>
  </si>
  <si>
    <t>ETHY</t>
  </si>
  <si>
    <t>4*PAR</t>
  </si>
  <si>
    <t>IOLE</t>
  </si>
  <si>
    <t>2*OLE</t>
  </si>
  <si>
    <t>5*PAR</t>
  </si>
  <si>
    <t>OLE+3*PAR</t>
  </si>
  <si>
    <t>IOLE+PAR</t>
  </si>
  <si>
    <t>6*PAR</t>
  </si>
  <si>
    <t>7*PAR</t>
  </si>
  <si>
    <t>8*PAR</t>
  </si>
  <si>
    <t>9*PAR</t>
  </si>
  <si>
    <t>10*PAR</t>
  </si>
  <si>
    <t>OLE+4*PAR</t>
  </si>
  <si>
    <t>OLE+2*PAR</t>
  </si>
  <si>
    <t>11*PAR</t>
  </si>
  <si>
    <t>TOL+PAR</t>
  </si>
  <si>
    <t>XYL+PAR</t>
  </si>
  <si>
    <t>TOL+2*PAR</t>
  </si>
  <si>
    <t>XYL+2*PAR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</si>
</sst>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2"/>
      <name val="Consolas"/>
      <family val="2"/>
    </font>
    <font>
      <u/>
      <sz val="12"/>
      <color theme="10"/>
      <name val="Calibri"/>
      <family val="2"/>
      <scheme val="minor"/>
    </font>
    <font>
      <sz val="1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1" fillId="2" borderId="0" xfId="0" applyFont="1" applyFill="1"/>
    <xf numFmtId="0" fontId="0" fillId="0" borderId="0" xfId="0" applyFill="1"/>
    <xf numFmtId="0" fontId="1" fillId="0" borderId="0" xfId="0" applyFont="1" applyFill="1"/>
    <xf numFmtId="0" fontId="2" fillId="2" borderId="0" xfId="1" applyFill="1"/>
    <xf numFmtId="0" fontId="2" fillId="0" borderId="0" xfId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11" fontId="0" fillId="0" borderId="0" xfId="0" applyNumberFormat="1"/>
    <xf numFmtId="0" fontId="1" fillId="4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0" xfId="0" applyFill="1" applyAlignment="1">
      <alignment wrapText="1"/>
    </xf>
    <xf numFmtId="0" fontId="0" fillId="9" borderId="0" xfId="0" applyFill="1"/>
    <xf numFmtId="0" fontId="0" fillId="10" borderId="0" xfId="0" applyFill="1"/>
    <xf numFmtId="11" fontId="0" fillId="6" borderId="0" xfId="0" applyNumberFormat="1" applyFill="1"/>
    <xf numFmtId="11" fontId="0" fillId="7" borderId="0" xfId="0" applyNumberFormat="1" applyFill="1"/>
    <xf numFmtId="11" fontId="0" fillId="9" borderId="0" xfId="0" applyNumberFormat="1" applyFill="1"/>
    <xf numFmtId="0" fontId="0" fillId="11" borderId="0" xfId="0" applyFill="1"/>
    <xf numFmtId="0" fontId="3" fillId="11" borderId="0" xfId="0" applyFont="1" applyFill="1"/>
    <xf numFmtId="0" fontId="0" fillId="12" borderId="0" xfId="0" applyFill="1"/>
    <xf numFmtId="0" fontId="0" fillId="13" borderId="0" xfId="0" applyFill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tsdr.cdc.gov/toxprofiles/tp67-c1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tsdr.cdc.gov/toxprofiles/tp67-c1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BD187-C216-B54D-A8A1-FF7784763F8D}">
  <dimension ref="A1:S36"/>
  <sheetViews>
    <sheetView topLeftCell="F43" zoomScale="87" workbookViewId="0">
      <selection activeCell="G66" sqref="G66"/>
    </sheetView>
  </sheetViews>
  <sheetFormatPr defaultColWidth="10.6875" defaultRowHeight="15.75" x14ac:dyDescent="0.5"/>
  <cols>
    <col min="1" max="1" width="30.5" customWidth="1"/>
    <col min="2" max="3" width="22.8125" customWidth="1"/>
    <col min="4" max="4" width="19.875" customWidth="1"/>
    <col min="5" max="5" width="10.8125" customWidth="1"/>
    <col min="6" max="6" width="47.3125" customWidth="1"/>
    <col min="7" max="10" width="18.6875" customWidth="1"/>
    <col min="11" max="12" width="18.6875" hidden="1" customWidth="1"/>
    <col min="13" max="13" width="18.6875" customWidth="1"/>
    <col min="14" max="15" width="10.6875" customWidth="1"/>
  </cols>
  <sheetData>
    <row r="1" spans="1:17" x14ac:dyDescent="0.5">
      <c r="A1" t="s">
        <v>147</v>
      </c>
      <c r="B1" t="s">
        <v>142</v>
      </c>
      <c r="C1" t="s">
        <v>214</v>
      </c>
      <c r="D1" t="s">
        <v>143</v>
      </c>
      <c r="E1" t="s">
        <v>0</v>
      </c>
      <c r="F1" t="s">
        <v>144</v>
      </c>
      <c r="G1" t="s">
        <v>1</v>
      </c>
      <c r="H1" t="s">
        <v>235</v>
      </c>
      <c r="I1" t="s">
        <v>224</v>
      </c>
      <c r="J1" t="s">
        <v>236</v>
      </c>
      <c r="K1" t="s">
        <v>239</v>
      </c>
      <c r="L1" t="s">
        <v>250</v>
      </c>
      <c r="N1" t="s">
        <v>2</v>
      </c>
      <c r="O1" t="s">
        <v>3</v>
      </c>
      <c r="P1" t="s">
        <v>136</v>
      </c>
      <c r="Q1" t="s">
        <v>258</v>
      </c>
    </row>
    <row r="2" spans="1:17" x14ac:dyDescent="0.5">
      <c r="A2" t="s">
        <v>154</v>
      </c>
      <c r="B2" t="s">
        <v>154</v>
      </c>
      <c r="D2" t="s">
        <v>90</v>
      </c>
      <c r="E2" t="s">
        <v>5</v>
      </c>
      <c r="F2" t="s">
        <v>6</v>
      </c>
      <c r="G2" t="s">
        <v>5</v>
      </c>
      <c r="J2" t="s">
        <v>5</v>
      </c>
      <c r="L2" t="b">
        <v>1</v>
      </c>
      <c r="N2" t="s">
        <v>4</v>
      </c>
      <c r="O2" t="s">
        <v>77</v>
      </c>
      <c r="P2" t="s">
        <v>132</v>
      </c>
    </row>
    <row r="3" spans="1:17" x14ac:dyDescent="0.5">
      <c r="A3" t="s">
        <v>153</v>
      </c>
      <c r="B3" t="s">
        <v>153</v>
      </c>
      <c r="D3" t="s">
        <v>89</v>
      </c>
      <c r="E3" t="s">
        <v>11</v>
      </c>
      <c r="F3" t="s">
        <v>7</v>
      </c>
      <c r="G3" t="s">
        <v>11</v>
      </c>
      <c r="J3" t="s">
        <v>11</v>
      </c>
      <c r="L3" t="b">
        <v>1</v>
      </c>
      <c r="N3" t="s">
        <v>12</v>
      </c>
      <c r="O3" t="s">
        <v>79</v>
      </c>
      <c r="P3" t="s">
        <v>133</v>
      </c>
    </row>
    <row r="4" spans="1:17" s="6" customFormat="1" x14ac:dyDescent="0.5">
      <c r="A4" s="6" t="s">
        <v>188</v>
      </c>
      <c r="B4" s="6" t="s">
        <v>152</v>
      </c>
      <c r="D4" s="6" t="s">
        <v>88</v>
      </c>
      <c r="E4" s="6" t="s">
        <v>9</v>
      </c>
      <c r="F4" s="6" t="s">
        <v>8</v>
      </c>
      <c r="G4" s="6" t="s">
        <v>117</v>
      </c>
      <c r="I4" s="6" t="s">
        <v>133</v>
      </c>
      <c r="J4" s="6" t="s">
        <v>9</v>
      </c>
      <c r="L4" t="b">
        <v>1</v>
      </c>
      <c r="M4"/>
      <c r="N4" s="6" t="s">
        <v>10</v>
      </c>
      <c r="O4" s="6" t="s">
        <v>80</v>
      </c>
      <c r="P4" s="6" t="s">
        <v>133</v>
      </c>
    </row>
    <row r="5" spans="1:17" x14ac:dyDescent="0.5">
      <c r="A5" t="s">
        <v>187</v>
      </c>
      <c r="B5" t="s">
        <v>150</v>
      </c>
      <c r="D5" s="1" t="s">
        <v>87</v>
      </c>
      <c r="E5" t="s">
        <v>13</v>
      </c>
      <c r="F5" s="1" t="s">
        <v>38</v>
      </c>
      <c r="G5" t="s">
        <v>13</v>
      </c>
      <c r="J5" t="s">
        <v>13</v>
      </c>
      <c r="L5" t="b">
        <v>1</v>
      </c>
      <c r="N5" t="s">
        <v>34</v>
      </c>
      <c r="O5" t="s">
        <v>78</v>
      </c>
    </row>
    <row r="6" spans="1:17" x14ac:dyDescent="0.5">
      <c r="A6" t="s">
        <v>186</v>
      </c>
      <c r="B6" t="s">
        <v>151</v>
      </c>
      <c r="D6" s="1" t="s">
        <v>86</v>
      </c>
      <c r="E6" t="s">
        <v>14</v>
      </c>
      <c r="F6" s="1" t="s">
        <v>39</v>
      </c>
      <c r="G6" t="s">
        <v>14</v>
      </c>
      <c r="J6" t="s">
        <v>14</v>
      </c>
      <c r="L6" t="b">
        <v>1</v>
      </c>
      <c r="N6" t="s">
        <v>35</v>
      </c>
      <c r="O6" t="s">
        <v>137</v>
      </c>
    </row>
    <row r="7" spans="1:17" x14ac:dyDescent="0.5">
      <c r="A7" t="s">
        <v>149</v>
      </c>
      <c r="B7" t="s">
        <v>149</v>
      </c>
      <c r="D7" s="1" t="s">
        <v>85</v>
      </c>
      <c r="E7" t="s">
        <v>15</v>
      </c>
      <c r="F7" s="1" t="s">
        <v>37</v>
      </c>
      <c r="G7" t="s">
        <v>15</v>
      </c>
      <c r="J7" t="s">
        <v>237</v>
      </c>
      <c r="L7" t="b">
        <v>1</v>
      </c>
      <c r="N7" t="s">
        <v>36</v>
      </c>
      <c r="O7" t="s">
        <v>138</v>
      </c>
    </row>
    <row r="8" spans="1:17" x14ac:dyDescent="0.5">
      <c r="A8" t="s">
        <v>148</v>
      </c>
      <c r="B8" t="s">
        <v>148</v>
      </c>
      <c r="D8" s="1" t="s">
        <v>84</v>
      </c>
      <c r="E8" t="s">
        <v>16</v>
      </c>
      <c r="F8" s="1" t="s">
        <v>40</v>
      </c>
      <c r="G8" t="s">
        <v>16</v>
      </c>
      <c r="J8" t="s">
        <v>16</v>
      </c>
      <c r="L8" t="b">
        <v>1</v>
      </c>
      <c r="N8" t="s">
        <v>41</v>
      </c>
      <c r="O8" t="s">
        <v>139</v>
      </c>
    </row>
    <row r="9" spans="1:17" x14ac:dyDescent="0.5">
      <c r="A9" t="s">
        <v>184</v>
      </c>
      <c r="B9" t="s">
        <v>146</v>
      </c>
      <c r="D9" s="1" t="s">
        <v>83</v>
      </c>
      <c r="E9" t="s">
        <v>17</v>
      </c>
      <c r="F9" s="1" t="s">
        <v>42</v>
      </c>
      <c r="G9" t="s">
        <v>17</v>
      </c>
      <c r="J9" t="s">
        <v>17</v>
      </c>
      <c r="L9" t="b">
        <v>1</v>
      </c>
      <c r="N9" t="s">
        <v>43</v>
      </c>
      <c r="O9" t="s">
        <v>140</v>
      </c>
    </row>
    <row r="10" spans="1:17" x14ac:dyDescent="0.5">
      <c r="A10" t="s">
        <v>185</v>
      </c>
      <c r="B10" t="s">
        <v>145</v>
      </c>
      <c r="D10" s="1" t="s">
        <v>82</v>
      </c>
      <c r="E10" t="s">
        <v>18</v>
      </c>
      <c r="F10" s="1" t="s">
        <v>44</v>
      </c>
      <c r="G10" t="s">
        <v>81</v>
      </c>
      <c r="J10" t="s">
        <v>81</v>
      </c>
      <c r="L10" t="b">
        <v>0</v>
      </c>
      <c r="N10" t="s">
        <v>45</v>
      </c>
      <c r="O10" t="s">
        <v>141</v>
      </c>
    </row>
    <row r="11" spans="1:17" x14ac:dyDescent="0.5">
      <c r="A11" t="s">
        <v>220</v>
      </c>
      <c r="B11" t="s">
        <v>155</v>
      </c>
      <c r="D11" s="1" t="s">
        <v>91</v>
      </c>
      <c r="E11" t="s">
        <v>19</v>
      </c>
      <c r="F11" s="1" t="s">
        <v>46</v>
      </c>
      <c r="G11" t="s">
        <v>400</v>
      </c>
      <c r="J11" t="s">
        <v>19</v>
      </c>
      <c r="L11" t="b">
        <v>1</v>
      </c>
      <c r="N11" t="s">
        <v>47</v>
      </c>
      <c r="O11" t="s">
        <v>163</v>
      </c>
    </row>
    <row r="12" spans="1:17" s="6" customFormat="1" x14ac:dyDescent="0.5">
      <c r="A12" s="6" t="s">
        <v>181</v>
      </c>
      <c r="D12" s="7" t="s">
        <v>92</v>
      </c>
      <c r="E12" s="6" t="s">
        <v>20</v>
      </c>
      <c r="F12" s="7" t="s">
        <v>48</v>
      </c>
      <c r="G12" s="6" t="s">
        <v>227</v>
      </c>
      <c r="I12" s="6" t="s">
        <v>133</v>
      </c>
      <c r="J12" s="6" t="s">
        <v>238</v>
      </c>
      <c r="K12" s="6" t="s">
        <v>240</v>
      </c>
      <c r="L12" s="6" t="b">
        <v>0</v>
      </c>
      <c r="N12" s="6" t="s">
        <v>251</v>
      </c>
    </row>
    <row r="13" spans="1:17" x14ac:dyDescent="0.5">
      <c r="A13" t="s">
        <v>156</v>
      </c>
      <c r="B13" t="s">
        <v>156</v>
      </c>
      <c r="D13" s="1" t="s">
        <v>93</v>
      </c>
      <c r="E13" t="s">
        <v>21</v>
      </c>
      <c r="F13" s="1" t="s">
        <v>49</v>
      </c>
      <c r="G13" t="s">
        <v>21</v>
      </c>
      <c r="J13" t="s">
        <v>21</v>
      </c>
      <c r="L13" t="b">
        <v>1</v>
      </c>
      <c r="N13" t="s">
        <v>50</v>
      </c>
      <c r="O13" t="s">
        <v>162</v>
      </c>
    </row>
    <row r="14" spans="1:17" x14ac:dyDescent="0.5">
      <c r="A14" t="s">
        <v>157</v>
      </c>
      <c r="B14" t="s">
        <v>157</v>
      </c>
      <c r="D14" s="1" t="s">
        <v>94</v>
      </c>
      <c r="E14" t="s">
        <v>22</v>
      </c>
      <c r="F14" s="1" t="s">
        <v>51</v>
      </c>
      <c r="G14" t="s">
        <v>106</v>
      </c>
      <c r="J14" t="s">
        <v>22</v>
      </c>
      <c r="L14" t="b">
        <v>1</v>
      </c>
      <c r="N14" t="s">
        <v>52</v>
      </c>
      <c r="O14" t="s">
        <v>161</v>
      </c>
    </row>
    <row r="15" spans="1:17" x14ac:dyDescent="0.5">
      <c r="A15" t="s">
        <v>158</v>
      </c>
      <c r="B15" t="s">
        <v>158</v>
      </c>
      <c r="D15" s="1" t="s">
        <v>95</v>
      </c>
      <c r="E15" t="s">
        <v>23</v>
      </c>
      <c r="F15" s="1" t="s">
        <v>54</v>
      </c>
      <c r="G15" t="s">
        <v>23</v>
      </c>
      <c r="J15" t="s">
        <v>241</v>
      </c>
      <c r="L15" t="b">
        <v>1</v>
      </c>
      <c r="N15" t="s">
        <v>53</v>
      </c>
      <c r="O15" t="s">
        <v>160</v>
      </c>
    </row>
    <row r="16" spans="1:17" x14ac:dyDescent="0.5">
      <c r="A16" t="s">
        <v>159</v>
      </c>
      <c r="B16" t="s">
        <v>159</v>
      </c>
      <c r="D16" s="1" t="s">
        <v>100</v>
      </c>
      <c r="E16" t="s">
        <v>24</v>
      </c>
      <c r="F16" s="1" t="s">
        <v>55</v>
      </c>
      <c r="G16" t="s">
        <v>107</v>
      </c>
      <c r="J16" t="s">
        <v>107</v>
      </c>
      <c r="L16" t="b">
        <v>1</v>
      </c>
      <c r="N16" t="s">
        <v>56</v>
      </c>
      <c r="O16" t="s">
        <v>11</v>
      </c>
    </row>
    <row r="17" spans="1:19" x14ac:dyDescent="0.5">
      <c r="A17" t="s">
        <v>182</v>
      </c>
      <c r="B17" t="s">
        <v>164</v>
      </c>
      <c r="D17" s="1" t="s">
        <v>96</v>
      </c>
      <c r="E17" t="s">
        <v>25</v>
      </c>
      <c r="F17" s="1" t="s">
        <v>57</v>
      </c>
      <c r="G17" t="s">
        <v>108</v>
      </c>
      <c r="J17" t="s">
        <v>25</v>
      </c>
      <c r="L17" t="b">
        <v>1</v>
      </c>
      <c r="N17" t="s">
        <v>58</v>
      </c>
      <c r="O17" t="s">
        <v>165</v>
      </c>
    </row>
    <row r="18" spans="1:19" x14ac:dyDescent="0.5">
      <c r="A18" t="s">
        <v>183</v>
      </c>
      <c r="B18" t="s">
        <v>166</v>
      </c>
      <c r="D18" s="1" t="s">
        <v>97</v>
      </c>
      <c r="E18" t="s">
        <v>26</v>
      </c>
      <c r="F18" s="1" t="s">
        <v>59</v>
      </c>
      <c r="G18" t="s">
        <v>109</v>
      </c>
      <c r="J18" t="s">
        <v>109</v>
      </c>
      <c r="L18" t="b">
        <v>1</v>
      </c>
      <c r="N18" t="s">
        <v>60</v>
      </c>
      <c r="O18" t="s">
        <v>167</v>
      </c>
      <c r="P18" t="s">
        <v>133</v>
      </c>
    </row>
    <row r="19" spans="1:19" x14ac:dyDescent="0.5">
      <c r="A19" t="s">
        <v>168</v>
      </c>
      <c r="B19" t="s">
        <v>168</v>
      </c>
      <c r="D19" s="1" t="s">
        <v>98</v>
      </c>
      <c r="E19" t="s">
        <v>27</v>
      </c>
      <c r="F19" s="1" t="s">
        <v>61</v>
      </c>
      <c r="G19" t="s">
        <v>75</v>
      </c>
      <c r="J19" t="s">
        <v>242</v>
      </c>
      <c r="L19" t="b">
        <v>1</v>
      </c>
      <c r="N19" t="s">
        <v>62</v>
      </c>
      <c r="O19" t="s">
        <v>76</v>
      </c>
    </row>
    <row r="20" spans="1:19" x14ac:dyDescent="0.5">
      <c r="A20" t="s">
        <v>169</v>
      </c>
      <c r="B20" t="s">
        <v>169</v>
      </c>
      <c r="D20" s="1" t="s">
        <v>99</v>
      </c>
      <c r="E20" t="s">
        <v>28</v>
      </c>
      <c r="F20" s="1" t="s">
        <v>63</v>
      </c>
      <c r="G20" t="s">
        <v>110</v>
      </c>
      <c r="J20" t="s">
        <v>243</v>
      </c>
      <c r="L20" t="b">
        <v>1</v>
      </c>
      <c r="N20" t="s">
        <v>64</v>
      </c>
      <c r="O20" t="s">
        <v>170</v>
      </c>
    </row>
    <row r="21" spans="1:19" x14ac:dyDescent="0.5">
      <c r="A21" t="s">
        <v>178</v>
      </c>
      <c r="B21" t="s">
        <v>171</v>
      </c>
      <c r="D21" s="1" t="s">
        <v>102</v>
      </c>
      <c r="E21" t="s">
        <v>31</v>
      </c>
      <c r="F21" s="1" t="s">
        <v>65</v>
      </c>
      <c r="G21" t="s">
        <v>31</v>
      </c>
      <c r="J21" t="s">
        <v>244</v>
      </c>
      <c r="L21" t="b">
        <v>1</v>
      </c>
      <c r="N21" t="s">
        <v>66</v>
      </c>
      <c r="O21" t="s">
        <v>172</v>
      </c>
    </row>
    <row r="22" spans="1:19" x14ac:dyDescent="0.5">
      <c r="A22" t="s">
        <v>179</v>
      </c>
      <c r="B22" t="s">
        <v>173</v>
      </c>
      <c r="D22" s="1" t="s">
        <v>103</v>
      </c>
      <c r="E22" t="s">
        <v>32</v>
      </c>
      <c r="F22" s="1" t="s">
        <v>68</v>
      </c>
      <c r="G22" t="s">
        <v>32</v>
      </c>
      <c r="J22" t="s">
        <v>245</v>
      </c>
      <c r="L22" t="b">
        <v>1</v>
      </c>
      <c r="N22" t="s">
        <v>67</v>
      </c>
      <c r="O22" t="s">
        <v>174</v>
      </c>
    </row>
    <row r="23" spans="1:19" x14ac:dyDescent="0.5">
      <c r="A23" t="s">
        <v>246</v>
      </c>
      <c r="B23" t="s">
        <v>175</v>
      </c>
      <c r="D23" s="1" t="s">
        <v>101</v>
      </c>
      <c r="E23" t="s">
        <v>29</v>
      </c>
      <c r="F23" s="1" t="s">
        <v>69</v>
      </c>
      <c r="G23" t="s">
        <v>228</v>
      </c>
      <c r="J23" t="s">
        <v>247</v>
      </c>
      <c r="L23" t="b">
        <v>1</v>
      </c>
      <c r="N23" t="s">
        <v>70</v>
      </c>
      <c r="O23" t="s">
        <v>176</v>
      </c>
    </row>
    <row r="24" spans="1:19" x14ac:dyDescent="0.5">
      <c r="A24" t="s">
        <v>180</v>
      </c>
      <c r="D24" s="1" t="s">
        <v>104</v>
      </c>
      <c r="E24" t="s">
        <v>30</v>
      </c>
      <c r="F24" s="1" t="s">
        <v>71</v>
      </c>
      <c r="G24" t="s">
        <v>30</v>
      </c>
      <c r="J24" t="s">
        <v>248</v>
      </c>
      <c r="L24" t="b">
        <v>1</v>
      </c>
      <c r="N24" t="s">
        <v>72</v>
      </c>
      <c r="O24" t="s">
        <v>177</v>
      </c>
    </row>
    <row r="25" spans="1:19" x14ac:dyDescent="0.5">
      <c r="A25" t="s">
        <v>190</v>
      </c>
      <c r="D25" s="1" t="s">
        <v>105</v>
      </c>
      <c r="E25" t="s">
        <v>33</v>
      </c>
      <c r="F25" s="1" t="s">
        <v>73</v>
      </c>
      <c r="G25" t="s">
        <v>33</v>
      </c>
      <c r="J25" t="s">
        <v>249</v>
      </c>
      <c r="L25" t="b">
        <v>1</v>
      </c>
      <c r="N25" t="s">
        <v>74</v>
      </c>
      <c r="O25" t="s">
        <v>189</v>
      </c>
    </row>
    <row r="27" spans="1:19" s="4" customFormat="1" x14ac:dyDescent="0.5">
      <c r="A27" s="4" t="s">
        <v>192</v>
      </c>
      <c r="B27" s="4" t="s">
        <v>191</v>
      </c>
      <c r="D27" s="4" t="s">
        <v>112</v>
      </c>
      <c r="F27" s="3" t="s">
        <v>130</v>
      </c>
      <c r="G27" s="4" t="s">
        <v>111</v>
      </c>
      <c r="J27" s="4" t="s">
        <v>111</v>
      </c>
      <c r="L27" t="b">
        <v>1</v>
      </c>
      <c r="M27"/>
      <c r="N27" s="4" t="s">
        <v>194</v>
      </c>
      <c r="O27" s="4" t="s">
        <v>193</v>
      </c>
      <c r="P27" s="4" t="s">
        <v>132</v>
      </c>
    </row>
    <row r="28" spans="1:19" s="4" customFormat="1" x14ac:dyDescent="0.5">
      <c r="A28" s="4" t="s">
        <v>197</v>
      </c>
      <c r="B28" s="4" t="s">
        <v>197</v>
      </c>
      <c r="D28" s="3" t="s">
        <v>113</v>
      </c>
      <c r="F28" s="3" t="s">
        <v>127</v>
      </c>
      <c r="G28" s="4" t="s">
        <v>114</v>
      </c>
      <c r="J28" s="4" t="s">
        <v>252</v>
      </c>
      <c r="L28" t="b">
        <v>1</v>
      </c>
      <c r="M28"/>
      <c r="N28" s="4" t="s">
        <v>196</v>
      </c>
      <c r="O28" s="4" t="s">
        <v>195</v>
      </c>
      <c r="P28" s="4" t="s">
        <v>133</v>
      </c>
    </row>
    <row r="29" spans="1:19" s="2" customFormat="1" x14ac:dyDescent="0.5">
      <c r="A29" s="2" t="s">
        <v>198</v>
      </c>
      <c r="B29" s="2" t="s">
        <v>225</v>
      </c>
      <c r="D29" s="5" t="s">
        <v>115</v>
      </c>
      <c r="F29" s="2" t="s">
        <v>126</v>
      </c>
      <c r="G29" s="2" t="s">
        <v>116</v>
      </c>
      <c r="J29" s="2" t="s">
        <v>253</v>
      </c>
      <c r="L29" t="b">
        <v>1</v>
      </c>
      <c r="M29"/>
      <c r="N29" s="2" t="s">
        <v>200</v>
      </c>
      <c r="O29" s="2" t="s">
        <v>199</v>
      </c>
      <c r="P29" s="2" t="s">
        <v>133</v>
      </c>
    </row>
    <row r="30" spans="1:19" s="2" customFormat="1" x14ac:dyDescent="0.5">
      <c r="A30" s="2" t="s">
        <v>201</v>
      </c>
      <c r="B30" s="2" t="s">
        <v>201</v>
      </c>
      <c r="D30" s="2" t="s">
        <v>119</v>
      </c>
      <c r="F30" s="2" t="s">
        <v>118</v>
      </c>
      <c r="G30" s="2" t="s">
        <v>120</v>
      </c>
      <c r="J30" s="2" t="s">
        <v>254</v>
      </c>
      <c r="N30" s="2" t="s">
        <v>203</v>
      </c>
      <c r="O30" s="2" t="s">
        <v>202</v>
      </c>
      <c r="P30" s="2" t="s">
        <v>133</v>
      </c>
      <c r="Q30" s="8" t="s">
        <v>261</v>
      </c>
      <c r="S30" s="2" t="s">
        <v>226</v>
      </c>
    </row>
    <row r="31" spans="1:19" s="2" customFormat="1" x14ac:dyDescent="0.5">
      <c r="A31" s="2" t="s">
        <v>204</v>
      </c>
      <c r="B31" s="2" t="s">
        <v>204</v>
      </c>
      <c r="D31" s="2" t="s">
        <v>121</v>
      </c>
      <c r="F31" s="2" t="s">
        <v>124</v>
      </c>
      <c r="G31" s="2" t="s">
        <v>122</v>
      </c>
      <c r="I31" s="2" t="s">
        <v>133</v>
      </c>
      <c r="N31" s="2" t="s">
        <v>206</v>
      </c>
      <c r="O31" s="2" t="s">
        <v>205</v>
      </c>
      <c r="P31" s="2" t="s">
        <v>132</v>
      </c>
      <c r="S31" s="2" t="s">
        <v>135</v>
      </c>
    </row>
    <row r="32" spans="1:19" s="2" customFormat="1" x14ac:dyDescent="0.5">
      <c r="A32" s="2" t="s">
        <v>209</v>
      </c>
      <c r="B32" s="2" t="s">
        <v>209</v>
      </c>
      <c r="D32" s="2" t="s">
        <v>123</v>
      </c>
      <c r="F32" s="2" t="s">
        <v>125</v>
      </c>
      <c r="G32" s="2" t="s">
        <v>415</v>
      </c>
      <c r="N32" s="2" t="s">
        <v>208</v>
      </c>
      <c r="O32" s="2" t="s">
        <v>207</v>
      </c>
      <c r="P32" s="2" t="s">
        <v>132</v>
      </c>
      <c r="S32" s="2" t="s">
        <v>134</v>
      </c>
    </row>
    <row r="33" spans="1:19" x14ac:dyDescent="0.5">
      <c r="A33" t="s">
        <v>216</v>
      </c>
      <c r="B33" t="s">
        <v>217</v>
      </c>
      <c r="C33" t="s">
        <v>215</v>
      </c>
      <c r="D33" t="s">
        <v>128</v>
      </c>
      <c r="G33" t="s">
        <v>129</v>
      </c>
      <c r="J33" s="2" t="s">
        <v>255</v>
      </c>
      <c r="N33" t="s">
        <v>219</v>
      </c>
      <c r="O33" t="s">
        <v>218</v>
      </c>
      <c r="P33" s="2" t="s">
        <v>132</v>
      </c>
      <c r="Q33" s="2"/>
      <c r="S33" t="s">
        <v>131</v>
      </c>
    </row>
    <row r="34" spans="1:19" x14ac:dyDescent="0.5">
      <c r="A34" t="s">
        <v>211</v>
      </c>
      <c r="B34" t="s">
        <v>211</v>
      </c>
      <c r="D34" t="s">
        <v>210</v>
      </c>
      <c r="G34" t="s">
        <v>221</v>
      </c>
      <c r="I34" t="s">
        <v>133</v>
      </c>
      <c r="N34" t="s">
        <v>212</v>
      </c>
      <c r="O34" t="s">
        <v>213</v>
      </c>
      <c r="P34" s="2" t="s">
        <v>132</v>
      </c>
      <c r="Q34" s="2"/>
    </row>
    <row r="35" spans="1:19" x14ac:dyDescent="0.5">
      <c r="A35" s="2" t="s">
        <v>230</v>
      </c>
      <c r="B35" s="2" t="s">
        <v>230</v>
      </c>
      <c r="D35" t="s">
        <v>222</v>
      </c>
      <c r="G35" t="s">
        <v>223</v>
      </c>
      <c r="I35" t="s">
        <v>133</v>
      </c>
      <c r="J35" t="s">
        <v>223</v>
      </c>
      <c r="L35" t="b">
        <v>1</v>
      </c>
      <c r="N35" s="2" t="s">
        <v>231</v>
      </c>
      <c r="O35" s="2" t="s">
        <v>232</v>
      </c>
      <c r="P35" s="2" t="s">
        <v>133</v>
      </c>
      <c r="Q35" s="2"/>
      <c r="S35" s="2" t="s">
        <v>229</v>
      </c>
    </row>
    <row r="36" spans="1:19" x14ac:dyDescent="0.5">
      <c r="A36" s="2" t="s">
        <v>260</v>
      </c>
      <c r="D36" t="s">
        <v>233</v>
      </c>
      <c r="G36" t="s">
        <v>234</v>
      </c>
      <c r="I36" t="s">
        <v>133</v>
      </c>
      <c r="N36" s="2" t="s">
        <v>256</v>
      </c>
      <c r="O36" s="2" t="s">
        <v>257</v>
      </c>
      <c r="P36" s="2" t="s">
        <v>133</v>
      </c>
      <c r="Q36" t="s">
        <v>259</v>
      </c>
    </row>
  </sheetData>
  <hyperlinks>
    <hyperlink ref="Q30" r:id="rId1" xr:uid="{84EF3E6B-2376-462F-A4BA-FAA0E914BC7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EC634-9347-446E-AC4B-ABB14EB8CC44}">
  <dimension ref="A1:T24"/>
  <sheetViews>
    <sheetView zoomScale="91" workbookViewId="0">
      <selection activeCell="F16" sqref="F16"/>
    </sheetView>
  </sheetViews>
  <sheetFormatPr defaultColWidth="10.6875" defaultRowHeight="15.75" x14ac:dyDescent="0.5"/>
  <cols>
    <col min="1" max="1" width="30.5" customWidth="1"/>
    <col min="2" max="2" width="22.8125" hidden="1" customWidth="1"/>
    <col min="3" max="3" width="56.6875" customWidth="1"/>
    <col min="4" max="4" width="19.875" customWidth="1"/>
    <col min="5" max="5" width="10.8125" customWidth="1"/>
    <col min="6" max="6" width="17" customWidth="1"/>
    <col min="7" max="7" width="18.6875" customWidth="1"/>
    <col min="8" max="9" width="18.6875" hidden="1" customWidth="1"/>
    <col min="10" max="10" width="18.6875" customWidth="1"/>
    <col min="11" max="12" width="18.6875" hidden="1" customWidth="1"/>
    <col min="13" max="13" width="18.6875" customWidth="1"/>
  </cols>
  <sheetData>
    <row r="1" spans="1:20" x14ac:dyDescent="0.5">
      <c r="A1" t="s">
        <v>147</v>
      </c>
      <c r="B1" t="s">
        <v>142</v>
      </c>
      <c r="C1" t="s">
        <v>214</v>
      </c>
      <c r="D1" t="s">
        <v>143</v>
      </c>
      <c r="E1" t="s">
        <v>0</v>
      </c>
      <c r="F1" t="s">
        <v>144</v>
      </c>
      <c r="G1" t="s">
        <v>1</v>
      </c>
      <c r="H1" t="s">
        <v>235</v>
      </c>
      <c r="I1" t="s">
        <v>224</v>
      </c>
      <c r="J1" t="s">
        <v>236</v>
      </c>
      <c r="K1" t="s">
        <v>239</v>
      </c>
      <c r="L1" t="s">
        <v>250</v>
      </c>
      <c r="M1" t="s">
        <v>239</v>
      </c>
      <c r="N1" t="s">
        <v>2</v>
      </c>
      <c r="O1" t="s">
        <v>292</v>
      </c>
      <c r="P1" t="s">
        <v>3</v>
      </c>
      <c r="Q1" t="s">
        <v>136</v>
      </c>
      <c r="R1" t="s">
        <v>258</v>
      </c>
    </row>
    <row r="2" spans="1:20" x14ac:dyDescent="0.5">
      <c r="A2" t="s">
        <v>156</v>
      </c>
      <c r="B2" t="s">
        <v>156</v>
      </c>
      <c r="D2" s="1" t="s">
        <v>93</v>
      </c>
      <c r="E2" t="s">
        <v>21</v>
      </c>
      <c r="F2" s="1" t="s">
        <v>49</v>
      </c>
      <c r="G2" t="s">
        <v>21</v>
      </c>
      <c r="J2" t="s">
        <v>21</v>
      </c>
      <c r="L2" t="b">
        <v>1</v>
      </c>
      <c r="N2" t="s">
        <v>50</v>
      </c>
      <c r="P2" t="s">
        <v>162</v>
      </c>
    </row>
    <row r="3" spans="1:20" s="6" customFormat="1" x14ac:dyDescent="0.5">
      <c r="A3" s="6" t="s">
        <v>188</v>
      </c>
      <c r="B3" s="6" t="s">
        <v>152</v>
      </c>
      <c r="C3" t="s">
        <v>273</v>
      </c>
      <c r="D3" s="6" t="s">
        <v>88</v>
      </c>
      <c r="E3" s="6" t="s">
        <v>9</v>
      </c>
      <c r="F3" s="6" t="s">
        <v>8</v>
      </c>
      <c r="G3" s="6" t="s">
        <v>117</v>
      </c>
      <c r="I3" s="6" t="s">
        <v>133</v>
      </c>
      <c r="J3" s="6" t="s">
        <v>9</v>
      </c>
      <c r="L3" t="b">
        <v>1</v>
      </c>
      <c r="M3"/>
      <c r="N3" s="6" t="s">
        <v>10</v>
      </c>
      <c r="P3" s="6" t="s">
        <v>80</v>
      </c>
      <c r="Q3" s="6" t="s">
        <v>133</v>
      </c>
    </row>
    <row r="4" spans="1:20" x14ac:dyDescent="0.5">
      <c r="A4" t="s">
        <v>220</v>
      </c>
      <c r="B4" t="s">
        <v>155</v>
      </c>
      <c r="C4" t="s">
        <v>274</v>
      </c>
      <c r="D4" s="11" t="s">
        <v>91</v>
      </c>
      <c r="E4" t="s">
        <v>19</v>
      </c>
      <c r="F4" s="1" t="s">
        <v>46</v>
      </c>
      <c r="G4" t="s">
        <v>400</v>
      </c>
      <c r="J4" t="s">
        <v>19</v>
      </c>
      <c r="L4" t="b">
        <v>1</v>
      </c>
      <c r="N4" t="s">
        <v>47</v>
      </c>
      <c r="P4" t="s">
        <v>163</v>
      </c>
    </row>
    <row r="5" spans="1:20" s="6" customFormat="1" x14ac:dyDescent="0.5">
      <c r="A5" s="6" t="s">
        <v>181</v>
      </c>
      <c r="C5" t="s">
        <v>307</v>
      </c>
      <c r="D5" s="11" t="s">
        <v>92</v>
      </c>
      <c r="E5" s="6" t="s">
        <v>20</v>
      </c>
      <c r="F5" s="7" t="s">
        <v>48</v>
      </c>
      <c r="G5" s="6" t="s">
        <v>227</v>
      </c>
      <c r="I5" s="6" t="s">
        <v>133</v>
      </c>
      <c r="J5" s="6" t="s">
        <v>238</v>
      </c>
      <c r="K5" s="6" t="s">
        <v>240</v>
      </c>
      <c r="L5" s="6" t="b">
        <v>0</v>
      </c>
      <c r="N5" s="6" t="s">
        <v>251</v>
      </c>
    </row>
    <row r="6" spans="1:20" x14ac:dyDescent="0.5">
      <c r="A6" t="s">
        <v>157</v>
      </c>
      <c r="B6" t="s">
        <v>157</v>
      </c>
      <c r="C6" t="s">
        <v>267</v>
      </c>
      <c r="D6" s="11" t="s">
        <v>94</v>
      </c>
      <c r="E6" t="s">
        <v>22</v>
      </c>
      <c r="F6" s="1" t="s">
        <v>51</v>
      </c>
      <c r="G6" t="s">
        <v>106</v>
      </c>
      <c r="J6" t="s">
        <v>22</v>
      </c>
      <c r="L6" t="b">
        <v>1</v>
      </c>
      <c r="N6" t="s">
        <v>52</v>
      </c>
      <c r="P6" t="s">
        <v>161</v>
      </c>
    </row>
    <row r="7" spans="1:20" x14ac:dyDescent="0.5">
      <c r="A7" t="s">
        <v>158</v>
      </c>
      <c r="B7" t="s">
        <v>158</v>
      </c>
      <c r="C7" t="s">
        <v>306</v>
      </c>
      <c r="D7" s="11" t="s">
        <v>95</v>
      </c>
      <c r="E7" t="s">
        <v>23</v>
      </c>
      <c r="F7" s="1" t="s">
        <v>54</v>
      </c>
      <c r="G7" t="s">
        <v>23</v>
      </c>
      <c r="J7" t="s">
        <v>241</v>
      </c>
      <c r="L7" t="b">
        <v>1</v>
      </c>
      <c r="N7" t="s">
        <v>53</v>
      </c>
      <c r="P7" t="s">
        <v>160</v>
      </c>
    </row>
    <row r="8" spans="1:20" x14ac:dyDescent="0.5">
      <c r="A8" t="s">
        <v>159</v>
      </c>
      <c r="B8" t="s">
        <v>159</v>
      </c>
      <c r="C8" t="s">
        <v>262</v>
      </c>
      <c r="D8" s="11" t="s">
        <v>100</v>
      </c>
      <c r="E8" t="s">
        <v>24</v>
      </c>
      <c r="F8" s="1" t="s">
        <v>55</v>
      </c>
      <c r="G8" t="s">
        <v>107</v>
      </c>
      <c r="J8" t="s">
        <v>107</v>
      </c>
      <c r="L8" t="b">
        <v>1</v>
      </c>
      <c r="N8" t="s">
        <v>56</v>
      </c>
      <c r="P8" t="s">
        <v>11</v>
      </c>
    </row>
    <row r="9" spans="1:20" x14ac:dyDescent="0.5">
      <c r="A9" t="s">
        <v>182</v>
      </c>
      <c r="B9" t="s">
        <v>164</v>
      </c>
      <c r="C9" t="s">
        <v>277</v>
      </c>
      <c r="D9" s="11" t="s">
        <v>96</v>
      </c>
      <c r="E9" t="s">
        <v>25</v>
      </c>
      <c r="F9" s="1" t="s">
        <v>57</v>
      </c>
      <c r="G9" t="s">
        <v>108</v>
      </c>
      <c r="J9" t="s">
        <v>25</v>
      </c>
      <c r="L9" t="b">
        <v>1</v>
      </c>
      <c r="N9" t="s">
        <v>58</v>
      </c>
      <c r="P9" t="s">
        <v>165</v>
      </c>
    </row>
    <row r="10" spans="1:20" x14ac:dyDescent="0.5">
      <c r="A10" t="s">
        <v>183</v>
      </c>
      <c r="B10" t="s">
        <v>166</v>
      </c>
      <c r="C10" t="s">
        <v>264</v>
      </c>
      <c r="D10" s="11" t="s">
        <v>97</v>
      </c>
      <c r="E10" t="s">
        <v>26</v>
      </c>
      <c r="F10" s="1" t="s">
        <v>59</v>
      </c>
      <c r="G10" t="s">
        <v>109</v>
      </c>
      <c r="J10" t="s">
        <v>109</v>
      </c>
      <c r="L10" t="b">
        <v>1</v>
      </c>
      <c r="N10" t="s">
        <v>60</v>
      </c>
      <c r="P10" t="s">
        <v>167</v>
      </c>
      <c r="Q10" t="s">
        <v>133</v>
      </c>
    </row>
    <row r="11" spans="1:20" s="6" customFormat="1" x14ac:dyDescent="0.5">
      <c r="A11" s="6" t="s">
        <v>197</v>
      </c>
      <c r="B11" s="6" t="s">
        <v>197</v>
      </c>
      <c r="C11" s="6" t="s">
        <v>268</v>
      </c>
      <c r="D11" s="7" t="s">
        <v>113</v>
      </c>
      <c r="F11" s="7"/>
      <c r="G11" s="6" t="s">
        <v>114</v>
      </c>
      <c r="J11" s="6" t="s">
        <v>252</v>
      </c>
      <c r="L11" s="6" t="b">
        <v>1</v>
      </c>
      <c r="N11" s="6" t="s">
        <v>196</v>
      </c>
      <c r="P11" s="6" t="s">
        <v>195</v>
      </c>
      <c r="Q11" s="6" t="s">
        <v>133</v>
      </c>
    </row>
    <row r="12" spans="1:20" s="6" customFormat="1" x14ac:dyDescent="0.5">
      <c r="A12" s="6" t="s">
        <v>198</v>
      </c>
      <c r="B12" s="6" t="s">
        <v>225</v>
      </c>
      <c r="C12" s="6" t="s">
        <v>266</v>
      </c>
      <c r="D12" s="7" t="s">
        <v>115</v>
      </c>
      <c r="G12" s="6" t="s">
        <v>116</v>
      </c>
      <c r="J12" s="6" t="s">
        <v>253</v>
      </c>
      <c r="L12" s="6" t="b">
        <v>1</v>
      </c>
      <c r="N12" s="6" t="s">
        <v>200</v>
      </c>
      <c r="P12" s="6" t="s">
        <v>199</v>
      </c>
      <c r="Q12" s="6" t="s">
        <v>133</v>
      </c>
    </row>
    <row r="13" spans="1:20" s="6" customFormat="1" x14ac:dyDescent="0.5">
      <c r="A13" s="6" t="s">
        <v>201</v>
      </c>
      <c r="B13" s="6" t="s">
        <v>201</v>
      </c>
      <c r="C13" s="6" t="s">
        <v>270</v>
      </c>
      <c r="D13" s="6" t="s">
        <v>119</v>
      </c>
      <c r="G13" s="6" t="s">
        <v>120</v>
      </c>
      <c r="J13" s="6" t="s">
        <v>254</v>
      </c>
      <c r="N13" s="6" t="s">
        <v>203</v>
      </c>
      <c r="P13" s="6" t="s">
        <v>202</v>
      </c>
      <c r="Q13" s="6" t="s">
        <v>133</v>
      </c>
      <c r="R13" s="9" t="s">
        <v>261</v>
      </c>
      <c r="T13" s="6" t="s">
        <v>226</v>
      </c>
    </row>
    <row r="14" spans="1:20" s="6" customFormat="1" x14ac:dyDescent="0.5">
      <c r="A14" s="6" t="s">
        <v>204</v>
      </c>
      <c r="B14" s="6" t="s">
        <v>204</v>
      </c>
      <c r="C14" s="6" t="s">
        <v>275</v>
      </c>
      <c r="D14" s="6" t="s">
        <v>121</v>
      </c>
      <c r="E14" s="14" t="s">
        <v>302</v>
      </c>
      <c r="F14" s="6" t="s">
        <v>124</v>
      </c>
      <c r="G14" s="6" t="s">
        <v>122</v>
      </c>
      <c r="I14" s="6" t="s">
        <v>133</v>
      </c>
      <c r="J14" s="6" t="s">
        <v>286</v>
      </c>
      <c r="M14" s="6" t="s">
        <v>287</v>
      </c>
      <c r="N14" s="6" t="s">
        <v>206</v>
      </c>
      <c r="P14" s="6" t="s">
        <v>205</v>
      </c>
      <c r="Q14" s="6" t="s">
        <v>132</v>
      </c>
      <c r="T14" s="6" t="s">
        <v>135</v>
      </c>
    </row>
    <row r="15" spans="1:20" s="6" customFormat="1" x14ac:dyDescent="0.5">
      <c r="A15" s="6" t="s">
        <v>209</v>
      </c>
      <c r="B15" s="6" t="s">
        <v>209</v>
      </c>
      <c r="C15" s="6" t="s">
        <v>276</v>
      </c>
      <c r="D15" s="6" t="s">
        <v>123</v>
      </c>
      <c r="E15" s="14" t="s">
        <v>302</v>
      </c>
      <c r="F15" s="6" t="s">
        <v>125</v>
      </c>
      <c r="G15" s="6" t="s">
        <v>122</v>
      </c>
      <c r="J15" s="6" t="s">
        <v>286</v>
      </c>
      <c r="M15" s="6" t="s">
        <v>287</v>
      </c>
      <c r="N15" s="6" t="s">
        <v>208</v>
      </c>
      <c r="P15" s="6" t="s">
        <v>207</v>
      </c>
      <c r="Q15" s="6" t="s">
        <v>132</v>
      </c>
      <c r="T15" s="6" t="s">
        <v>134</v>
      </c>
    </row>
    <row r="16" spans="1:20" s="6" customFormat="1" x14ac:dyDescent="0.5">
      <c r="A16" s="6" t="s">
        <v>216</v>
      </c>
      <c r="B16" s="6" t="s">
        <v>217</v>
      </c>
      <c r="C16" s="6" t="s">
        <v>215</v>
      </c>
      <c r="D16" s="12" t="s">
        <v>128</v>
      </c>
      <c r="E16" s="6" t="s">
        <v>303</v>
      </c>
      <c r="F16" s="6" t="s">
        <v>304</v>
      </c>
      <c r="G16" s="6" t="s">
        <v>129</v>
      </c>
      <c r="J16" s="6" t="s">
        <v>255</v>
      </c>
      <c r="N16" s="6" t="s">
        <v>219</v>
      </c>
      <c r="P16" s="6" t="s">
        <v>218</v>
      </c>
      <c r="Q16" s="6" t="s">
        <v>132</v>
      </c>
      <c r="T16" s="6" t="s">
        <v>131</v>
      </c>
    </row>
    <row r="17" spans="1:20" s="24" customFormat="1" x14ac:dyDescent="0.5">
      <c r="A17" s="24" t="s">
        <v>211</v>
      </c>
      <c r="B17" s="24" t="s">
        <v>211</v>
      </c>
      <c r="C17" s="24" t="s">
        <v>265</v>
      </c>
      <c r="D17" s="24" t="s">
        <v>210</v>
      </c>
      <c r="G17" s="24" t="s">
        <v>221</v>
      </c>
      <c r="I17" s="24" t="s">
        <v>133</v>
      </c>
      <c r="J17" s="25"/>
      <c r="N17" s="24" t="s">
        <v>212</v>
      </c>
      <c r="P17" s="24" t="s">
        <v>213</v>
      </c>
      <c r="Q17" s="24" t="s">
        <v>132</v>
      </c>
    </row>
    <row r="18" spans="1:20" s="6" customFormat="1" x14ac:dyDescent="0.5">
      <c r="A18" s="6" t="s">
        <v>230</v>
      </c>
      <c r="B18" s="6" t="s">
        <v>230</v>
      </c>
      <c r="C18" s="6" t="s">
        <v>269</v>
      </c>
      <c r="D18" s="12" t="s">
        <v>222</v>
      </c>
      <c r="G18" s="6" t="s">
        <v>223</v>
      </c>
      <c r="I18" s="6" t="s">
        <v>133</v>
      </c>
      <c r="J18" s="6" t="s">
        <v>223</v>
      </c>
      <c r="L18" s="6" t="b">
        <v>1</v>
      </c>
      <c r="N18" s="6" t="s">
        <v>231</v>
      </c>
      <c r="P18" s="6" t="s">
        <v>232</v>
      </c>
      <c r="Q18" s="6" t="s">
        <v>133</v>
      </c>
      <c r="T18" s="6" t="s">
        <v>229</v>
      </c>
    </row>
    <row r="19" spans="1:20" s="24" customFormat="1" x14ac:dyDescent="0.5">
      <c r="A19" s="24" t="s">
        <v>260</v>
      </c>
      <c r="C19" s="24" t="s">
        <v>263</v>
      </c>
      <c r="D19" s="24" t="s">
        <v>233</v>
      </c>
      <c r="G19" s="24" t="s">
        <v>234</v>
      </c>
      <c r="I19" s="24" t="s">
        <v>133</v>
      </c>
      <c r="N19" s="24" t="s">
        <v>256</v>
      </c>
      <c r="P19" s="24" t="s">
        <v>257</v>
      </c>
      <c r="Q19" s="24" t="s">
        <v>133</v>
      </c>
      <c r="R19" s="24" t="s">
        <v>259</v>
      </c>
    </row>
    <row r="20" spans="1:20" s="24" customFormat="1" x14ac:dyDescent="0.5">
      <c r="C20" s="24" t="s">
        <v>271</v>
      </c>
      <c r="D20" s="24" t="s">
        <v>272</v>
      </c>
      <c r="G20" s="24" t="s">
        <v>415</v>
      </c>
    </row>
    <row r="21" spans="1:20" x14ac:dyDescent="0.5">
      <c r="A21" t="s">
        <v>317</v>
      </c>
      <c r="C21" t="s">
        <v>278</v>
      </c>
      <c r="D21" s="12" t="s">
        <v>279</v>
      </c>
      <c r="E21" t="s">
        <v>305</v>
      </c>
      <c r="G21" s="6" t="s">
        <v>290</v>
      </c>
      <c r="J21" t="s">
        <v>288</v>
      </c>
    </row>
    <row r="22" spans="1:20" x14ac:dyDescent="0.5">
      <c r="C22" t="s">
        <v>280</v>
      </c>
      <c r="D22" s="12" t="s">
        <v>281</v>
      </c>
      <c r="G22" s="6" t="s">
        <v>289</v>
      </c>
      <c r="J22" t="s">
        <v>289</v>
      </c>
    </row>
    <row r="23" spans="1:20" x14ac:dyDescent="0.5">
      <c r="C23" t="s">
        <v>283</v>
      </c>
      <c r="D23" t="s">
        <v>282</v>
      </c>
      <c r="G23" s="6" t="s">
        <v>291</v>
      </c>
      <c r="J23" s="10" t="s">
        <v>435</v>
      </c>
    </row>
    <row r="24" spans="1:20" x14ac:dyDescent="0.5">
      <c r="C24" t="s">
        <v>284</v>
      </c>
      <c r="D24" s="26" t="s">
        <v>285</v>
      </c>
      <c r="G24" s="6" t="s">
        <v>291</v>
      </c>
      <c r="J24" s="10"/>
    </row>
  </sheetData>
  <hyperlinks>
    <hyperlink ref="R13" r:id="rId1" xr:uid="{F6F39E0E-BAD3-420F-A3D5-AC79A57FA9B9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9389B-3F58-406B-B95B-80A48E825094}">
  <dimension ref="A1:H9"/>
  <sheetViews>
    <sheetView workbookViewId="0">
      <selection activeCell="E24" sqref="E24"/>
    </sheetView>
  </sheetViews>
  <sheetFormatPr defaultRowHeight="15.75" x14ac:dyDescent="0.5"/>
  <cols>
    <col min="1" max="2" width="29.6875" customWidth="1"/>
    <col min="3" max="3" width="13.125" customWidth="1"/>
    <col min="5" max="5" width="24.875" customWidth="1"/>
    <col min="6" max="6" width="25.375" customWidth="1"/>
    <col min="7" max="7" width="11.875" bestFit="1" customWidth="1"/>
  </cols>
  <sheetData>
    <row r="1" spans="1:8" x14ac:dyDescent="0.5">
      <c r="B1" t="s">
        <v>3</v>
      </c>
      <c r="C1" t="s">
        <v>298</v>
      </c>
      <c r="D1" t="s">
        <v>294</v>
      </c>
      <c r="E1" t="s">
        <v>295</v>
      </c>
      <c r="F1" t="s">
        <v>296</v>
      </c>
      <c r="G1" t="s">
        <v>297</v>
      </c>
      <c r="H1" t="s">
        <v>299</v>
      </c>
    </row>
    <row r="2" spans="1:8" x14ac:dyDescent="0.5">
      <c r="A2" s="6" t="s">
        <v>88</v>
      </c>
      <c r="B2" s="6" t="s">
        <v>80</v>
      </c>
      <c r="C2" s="6">
        <v>62.13</v>
      </c>
      <c r="D2" s="13">
        <v>4.8200000000000001E-12</v>
      </c>
      <c r="E2">
        <v>502</v>
      </c>
      <c r="F2">
        <f>E2*133.322</f>
        <v>66927.644</v>
      </c>
      <c r="G2">
        <f>(F2*C2*10000000)/(8.314*298)</f>
        <v>16783425554.211945</v>
      </c>
      <c r="H2">
        <f>LOG10(G2)</f>
        <v>10.224880606520044</v>
      </c>
    </row>
    <row r="3" spans="1:8" x14ac:dyDescent="0.5">
      <c r="A3" s="6" t="s">
        <v>121</v>
      </c>
      <c r="B3" t="s">
        <v>205</v>
      </c>
      <c r="C3" s="6">
        <v>128.215</v>
      </c>
      <c r="D3" s="13">
        <v>2.6899999999999999E-11</v>
      </c>
      <c r="E3">
        <v>1.18</v>
      </c>
      <c r="F3">
        <f t="shared" ref="F3:F8" si="0">E3*133.322</f>
        <v>157.31996000000001</v>
      </c>
      <c r="G3">
        <f t="shared" ref="G3:G8" si="1">(F3*C3*10000000)/(8.314*298)</f>
        <v>81413491.399644494</v>
      </c>
      <c r="H3">
        <f t="shared" ref="H3:H8" si="2">LOG10(G3)</f>
        <v>7.9106963797652607</v>
      </c>
    </row>
    <row r="4" spans="1:8" x14ac:dyDescent="0.5">
      <c r="A4" s="6" t="s">
        <v>123</v>
      </c>
      <c r="B4" s="6" t="s">
        <v>207</v>
      </c>
      <c r="C4" s="6">
        <v>142.24199999999999</v>
      </c>
      <c r="D4" s="13">
        <v>2.6299999999999999E-11</v>
      </c>
      <c r="E4">
        <v>0.37</v>
      </c>
      <c r="F4">
        <f t="shared" si="0"/>
        <v>49.329140000000002</v>
      </c>
      <c r="G4">
        <f t="shared" si="1"/>
        <v>28320773.450297307</v>
      </c>
      <c r="H4">
        <f t="shared" si="2"/>
        <v>7.4521051099149513</v>
      </c>
    </row>
    <row r="5" spans="1:8" x14ac:dyDescent="0.5">
      <c r="A5" s="6" t="s">
        <v>210</v>
      </c>
      <c r="B5" s="6" t="s">
        <v>213</v>
      </c>
      <c r="C5" s="6">
        <v>48.1</v>
      </c>
      <c r="D5" s="13">
        <v>3.2899999999999998E-11</v>
      </c>
      <c r="E5" s="13">
        <v>1510</v>
      </c>
      <c r="F5">
        <f t="shared" si="0"/>
        <v>201316.22</v>
      </c>
      <c r="G5">
        <f t="shared" si="1"/>
        <v>39083869942.02388</v>
      </c>
      <c r="H5">
        <f t="shared" si="2"/>
        <v>10.59199755942891</v>
      </c>
    </row>
    <row r="6" spans="1:8" x14ac:dyDescent="0.5">
      <c r="A6" s="6" t="s">
        <v>233</v>
      </c>
      <c r="B6" s="6" t="s">
        <v>257</v>
      </c>
      <c r="C6" s="6">
        <v>41.052999999999997</v>
      </c>
      <c r="D6" s="13">
        <v>2.6299999999999999E-14</v>
      </c>
      <c r="E6">
        <v>88.8</v>
      </c>
      <c r="F6">
        <f t="shared" si="0"/>
        <v>11838.9936</v>
      </c>
      <c r="G6">
        <f t="shared" si="1"/>
        <v>1961703652.8536808</v>
      </c>
      <c r="H6">
        <f t="shared" si="2"/>
        <v>9.2926334007752533</v>
      </c>
    </row>
    <row r="7" spans="1:8" x14ac:dyDescent="0.5">
      <c r="A7" s="6" t="s">
        <v>293</v>
      </c>
      <c r="B7" s="6" t="s">
        <v>300</v>
      </c>
      <c r="C7" s="6">
        <v>58.08</v>
      </c>
      <c r="D7" s="13">
        <v>1.9599999999999999E-11</v>
      </c>
      <c r="E7">
        <v>317</v>
      </c>
      <c r="F7">
        <f t="shared" si="0"/>
        <v>42263.074000000001</v>
      </c>
      <c r="G7">
        <f t="shared" si="1"/>
        <v>9907438968.1510773</v>
      </c>
      <c r="H7">
        <f t="shared" si="2"/>
        <v>9.9959614056716983</v>
      </c>
    </row>
    <row r="8" spans="1:8" x14ac:dyDescent="0.5">
      <c r="A8" s="6" t="s">
        <v>285</v>
      </c>
      <c r="B8" s="6" t="s">
        <v>301</v>
      </c>
      <c r="C8" s="6">
        <v>180.55</v>
      </c>
      <c r="D8" s="13">
        <v>3.8E-13</v>
      </c>
      <c r="E8">
        <v>5.08</v>
      </c>
      <c r="F8">
        <f t="shared" si="0"/>
        <v>677.27575999999999</v>
      </c>
      <c r="G8">
        <f t="shared" si="1"/>
        <v>493556346.5683338</v>
      </c>
      <c r="H8">
        <f t="shared" si="2"/>
        <v>8.6933367408086735</v>
      </c>
    </row>
    <row r="9" spans="1:8" x14ac:dyDescent="0.5">
      <c r="A9" s="6"/>
      <c r="B9" s="6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2CFC5-A8DD-49A3-A26B-B6A0C5B95BDE}">
  <dimension ref="A1:C22"/>
  <sheetViews>
    <sheetView topLeftCell="A16" workbookViewId="0">
      <selection activeCell="B10" sqref="B10"/>
    </sheetView>
  </sheetViews>
  <sheetFormatPr defaultRowHeight="15.75" x14ac:dyDescent="0.5"/>
  <cols>
    <col min="1" max="2" width="21.625" customWidth="1"/>
  </cols>
  <sheetData>
    <row r="1" spans="1:3" x14ac:dyDescent="0.5">
      <c r="A1" t="s">
        <v>505</v>
      </c>
      <c r="B1" t="s">
        <v>294</v>
      </c>
      <c r="C1" t="s">
        <v>508</v>
      </c>
    </row>
    <row r="2" spans="1:3" x14ac:dyDescent="0.5">
      <c r="A2" t="s">
        <v>400</v>
      </c>
      <c r="B2" t="s">
        <v>519</v>
      </c>
      <c r="C2" t="s">
        <v>46</v>
      </c>
    </row>
    <row r="3" spans="1:3" x14ac:dyDescent="0.5">
      <c r="A3" t="s">
        <v>506</v>
      </c>
      <c r="B3" t="s">
        <v>520</v>
      </c>
      <c r="C3" t="s">
        <v>509</v>
      </c>
    </row>
    <row r="4" spans="1:3" x14ac:dyDescent="0.5">
      <c r="A4" t="s">
        <v>507</v>
      </c>
      <c r="B4" t="s">
        <v>521</v>
      </c>
      <c r="C4" t="s">
        <v>509</v>
      </c>
    </row>
    <row r="5" spans="1:3" x14ac:dyDescent="0.5">
      <c r="A5" t="s">
        <v>106</v>
      </c>
      <c r="B5" t="s">
        <v>522</v>
      </c>
      <c r="C5" t="s">
        <v>510</v>
      </c>
    </row>
    <row r="6" spans="1:3" x14ac:dyDescent="0.5">
      <c r="A6" t="s">
        <v>23</v>
      </c>
      <c r="B6" t="s">
        <v>523</v>
      </c>
      <c r="C6" t="s">
        <v>510</v>
      </c>
    </row>
    <row r="7" spans="1:3" x14ac:dyDescent="0.5">
      <c r="A7" t="s">
        <v>107</v>
      </c>
      <c r="B7" t="s">
        <v>524</v>
      </c>
      <c r="C7" t="s">
        <v>511</v>
      </c>
    </row>
    <row r="8" spans="1:3" ht="31.5" x14ac:dyDescent="0.5">
      <c r="A8" t="s">
        <v>108</v>
      </c>
      <c r="B8" s="28" t="s">
        <v>525</v>
      </c>
      <c r="C8" t="s">
        <v>512</v>
      </c>
    </row>
    <row r="9" spans="1:3" x14ac:dyDescent="0.5">
      <c r="A9" t="s">
        <v>109</v>
      </c>
      <c r="B9" t="s">
        <v>533</v>
      </c>
      <c r="C9" t="s">
        <v>511</v>
      </c>
    </row>
    <row r="10" spans="1:3" x14ac:dyDescent="0.5">
      <c r="A10" t="s">
        <v>110</v>
      </c>
      <c r="C10" t="s">
        <v>513</v>
      </c>
    </row>
    <row r="11" spans="1:3" x14ac:dyDescent="0.5">
      <c r="A11" t="s">
        <v>116</v>
      </c>
      <c r="C11" t="s">
        <v>512</v>
      </c>
    </row>
    <row r="12" spans="1:3" x14ac:dyDescent="0.5">
      <c r="A12" t="s">
        <v>498</v>
      </c>
      <c r="C12" t="s">
        <v>514</v>
      </c>
    </row>
    <row r="13" spans="1:3" x14ac:dyDescent="0.5">
      <c r="A13" t="s">
        <v>499</v>
      </c>
      <c r="C13" t="s">
        <v>516</v>
      </c>
    </row>
    <row r="14" spans="1:3" x14ac:dyDescent="0.5">
      <c r="A14" t="s">
        <v>502</v>
      </c>
      <c r="C14" t="s">
        <v>516</v>
      </c>
    </row>
    <row r="15" spans="1:3" x14ac:dyDescent="0.5">
      <c r="A15" t="s">
        <v>504</v>
      </c>
      <c r="C15" t="s">
        <v>517</v>
      </c>
    </row>
    <row r="16" spans="1:3" x14ac:dyDescent="0.5">
      <c r="A16" t="s">
        <v>501</v>
      </c>
      <c r="C16" t="s">
        <v>516</v>
      </c>
    </row>
    <row r="17" spans="1:3" x14ac:dyDescent="0.5">
      <c r="A17" t="s">
        <v>500</v>
      </c>
      <c r="C17" t="s">
        <v>518</v>
      </c>
    </row>
    <row r="18" spans="1:3" x14ac:dyDescent="0.5">
      <c r="A18" t="s">
        <v>117</v>
      </c>
      <c r="C18" t="s">
        <v>518</v>
      </c>
    </row>
    <row r="19" spans="1:3" x14ac:dyDescent="0.5">
      <c r="A19" t="s">
        <v>221</v>
      </c>
      <c r="C19" t="s">
        <v>518</v>
      </c>
    </row>
    <row r="20" spans="1:3" x14ac:dyDescent="0.5">
      <c r="A20" t="s">
        <v>291</v>
      </c>
      <c r="B20" s="13">
        <v>2.33E-11</v>
      </c>
      <c r="C20" t="s">
        <v>510</v>
      </c>
    </row>
    <row r="21" spans="1:3" x14ac:dyDescent="0.5">
      <c r="A21" t="s">
        <v>441</v>
      </c>
      <c r="B21" s="13">
        <v>7.0000000000000001E-12</v>
      </c>
      <c r="C21" t="s">
        <v>510</v>
      </c>
    </row>
    <row r="22" spans="1:3" x14ac:dyDescent="0.5">
      <c r="A22" t="s">
        <v>75</v>
      </c>
      <c r="C22" t="s">
        <v>515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BECA3-7B83-42AA-957F-178225E79D78}">
  <dimension ref="A1:D12"/>
  <sheetViews>
    <sheetView workbookViewId="0">
      <selection activeCell="B13" sqref="B13"/>
    </sheetView>
  </sheetViews>
  <sheetFormatPr defaultRowHeight="15.75" x14ac:dyDescent="0.5"/>
  <cols>
    <col min="1" max="1" width="23.0625" customWidth="1"/>
    <col min="2" max="2" width="17.625" customWidth="1"/>
    <col min="4" max="4" width="25.875" customWidth="1"/>
  </cols>
  <sheetData>
    <row r="1" spans="1:4" x14ac:dyDescent="0.5">
      <c r="A1" t="s">
        <v>505</v>
      </c>
      <c r="B1" t="s">
        <v>294</v>
      </c>
      <c r="C1" t="s">
        <v>508</v>
      </c>
      <c r="D1" t="s">
        <v>527</v>
      </c>
    </row>
    <row r="2" spans="1:4" x14ac:dyDescent="0.5">
      <c r="A2" t="s">
        <v>122</v>
      </c>
      <c r="B2" t="s">
        <v>526</v>
      </c>
      <c r="C2" t="s">
        <v>512</v>
      </c>
      <c r="D2" t="s">
        <v>528</v>
      </c>
    </row>
    <row r="3" spans="1:4" x14ac:dyDescent="0.5">
      <c r="A3" t="s">
        <v>529</v>
      </c>
      <c r="B3" t="s">
        <v>532</v>
      </c>
      <c r="C3" t="s">
        <v>530</v>
      </c>
      <c r="D3" t="s">
        <v>531</v>
      </c>
    </row>
    <row r="12" spans="1:4" x14ac:dyDescent="0.5">
      <c r="A12" t="s">
        <v>534</v>
      </c>
      <c r="B12" t="s">
        <v>536</v>
      </c>
      <c r="C12" t="s">
        <v>511</v>
      </c>
      <c r="D12" t="s">
        <v>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6C97C-174C-4E47-BA3D-88245D30FDF9}">
  <dimension ref="A1:G24"/>
  <sheetViews>
    <sheetView topLeftCell="B1" workbookViewId="0">
      <selection activeCell="E28" sqref="E28"/>
    </sheetView>
  </sheetViews>
  <sheetFormatPr defaultRowHeight="15.75" x14ac:dyDescent="0.5"/>
  <cols>
    <col min="1" max="1" width="40.1875" customWidth="1"/>
    <col min="2" max="2" width="25" customWidth="1"/>
    <col min="3" max="3" width="26.6875" customWidth="1"/>
    <col min="4" max="4" width="18.1875" customWidth="1"/>
    <col min="5" max="5" width="29.3125" customWidth="1"/>
    <col min="6" max="6" width="49.5" customWidth="1"/>
    <col min="7" max="7" width="32.875" customWidth="1"/>
  </cols>
  <sheetData>
    <row r="1" spans="1:7" x14ac:dyDescent="0.5">
      <c r="A1" t="s">
        <v>147</v>
      </c>
      <c r="B1" t="s">
        <v>214</v>
      </c>
      <c r="C1" t="s">
        <v>143</v>
      </c>
      <c r="D1" t="s">
        <v>388</v>
      </c>
      <c r="E1" s="15" t="s">
        <v>393</v>
      </c>
      <c r="F1" s="16" t="s">
        <v>399</v>
      </c>
      <c r="G1" s="19" t="s">
        <v>398</v>
      </c>
    </row>
    <row r="2" spans="1:7" x14ac:dyDescent="0.5">
      <c r="A2" t="s">
        <v>156</v>
      </c>
      <c r="B2" s="6" t="s">
        <v>390</v>
      </c>
      <c r="C2" s="1" t="s">
        <v>93</v>
      </c>
      <c r="D2" t="s">
        <v>21</v>
      </c>
      <c r="E2" s="15" t="s">
        <v>408</v>
      </c>
      <c r="F2" s="16" t="s">
        <v>419</v>
      </c>
      <c r="G2" s="19"/>
    </row>
    <row r="3" spans="1:7" x14ac:dyDescent="0.5">
      <c r="A3" s="6" t="s">
        <v>188</v>
      </c>
      <c r="B3" t="s">
        <v>273</v>
      </c>
      <c r="C3" s="6" t="s">
        <v>88</v>
      </c>
      <c r="D3" s="6" t="s">
        <v>117</v>
      </c>
      <c r="E3" s="15" t="s">
        <v>407</v>
      </c>
      <c r="F3" s="16" t="s">
        <v>418</v>
      </c>
      <c r="G3" s="19"/>
    </row>
    <row r="4" spans="1:7" x14ac:dyDescent="0.5">
      <c r="A4" t="s">
        <v>220</v>
      </c>
      <c r="B4" t="s">
        <v>274</v>
      </c>
      <c r="C4" s="11" t="s">
        <v>91</v>
      </c>
      <c r="D4" t="s">
        <v>400</v>
      </c>
      <c r="E4" s="15" t="s">
        <v>406</v>
      </c>
      <c r="F4" s="22">
        <v>4.6000000000000001E-10</v>
      </c>
      <c r="G4" s="19" t="s">
        <v>430</v>
      </c>
    </row>
    <row r="5" spans="1:7" x14ac:dyDescent="0.5">
      <c r="A5" s="6" t="s">
        <v>181</v>
      </c>
      <c r="B5" t="s">
        <v>307</v>
      </c>
      <c r="C5" s="11" t="s">
        <v>92</v>
      </c>
      <c r="D5" s="6" t="s">
        <v>227</v>
      </c>
      <c r="E5" s="15" t="s">
        <v>405</v>
      </c>
      <c r="F5" s="16" t="s">
        <v>420</v>
      </c>
      <c r="G5" s="19" t="s">
        <v>431</v>
      </c>
    </row>
    <row r="6" spans="1:7" x14ac:dyDescent="0.5">
      <c r="A6" t="s">
        <v>157</v>
      </c>
      <c r="B6" t="s">
        <v>267</v>
      </c>
      <c r="C6" s="11" t="s">
        <v>94</v>
      </c>
      <c r="D6" t="s">
        <v>106</v>
      </c>
      <c r="E6" s="15" t="s">
        <v>404</v>
      </c>
      <c r="F6" s="22">
        <v>1.5E-16</v>
      </c>
      <c r="G6" s="19"/>
    </row>
    <row r="7" spans="1:7" x14ac:dyDescent="0.5">
      <c r="A7" t="s">
        <v>158</v>
      </c>
      <c r="B7" t="s">
        <v>306</v>
      </c>
      <c r="C7" s="11" t="s">
        <v>95</v>
      </c>
      <c r="D7" t="s">
        <v>23</v>
      </c>
      <c r="E7" s="15" t="s">
        <v>403</v>
      </c>
      <c r="F7" s="22">
        <v>6E-11</v>
      </c>
      <c r="G7" s="19"/>
    </row>
    <row r="8" spans="1:7" x14ac:dyDescent="0.5">
      <c r="A8" t="s">
        <v>159</v>
      </c>
      <c r="B8" t="s">
        <v>262</v>
      </c>
      <c r="C8" s="11" t="s">
        <v>100</v>
      </c>
      <c r="D8" t="s">
        <v>107</v>
      </c>
      <c r="E8" s="15" t="s">
        <v>411</v>
      </c>
      <c r="F8" s="16" t="s">
        <v>421</v>
      </c>
      <c r="G8" s="19"/>
    </row>
    <row r="9" spans="1:7" x14ac:dyDescent="0.5">
      <c r="A9" t="s">
        <v>182</v>
      </c>
      <c r="B9" t="s">
        <v>277</v>
      </c>
      <c r="C9" s="11" t="s">
        <v>96</v>
      </c>
      <c r="D9" t="s">
        <v>108</v>
      </c>
      <c r="E9" s="15" t="s">
        <v>402</v>
      </c>
      <c r="F9" s="16" t="s">
        <v>422</v>
      </c>
      <c r="G9" s="19" t="s">
        <v>432</v>
      </c>
    </row>
    <row r="10" spans="1:7" x14ac:dyDescent="0.5">
      <c r="A10" t="s">
        <v>183</v>
      </c>
      <c r="B10" t="s">
        <v>264</v>
      </c>
      <c r="C10" s="11" t="s">
        <v>97</v>
      </c>
      <c r="D10" t="s">
        <v>109</v>
      </c>
      <c r="E10" s="15" t="s">
        <v>412</v>
      </c>
      <c r="F10" s="16" t="s">
        <v>423</v>
      </c>
      <c r="G10" s="19"/>
    </row>
    <row r="11" spans="1:7" x14ac:dyDescent="0.5">
      <c r="A11" s="6" t="s">
        <v>197</v>
      </c>
      <c r="B11" s="6" t="s">
        <v>268</v>
      </c>
      <c r="C11" s="7" t="s">
        <v>113</v>
      </c>
      <c r="D11" s="6" t="s">
        <v>114</v>
      </c>
      <c r="E11" s="15" t="s">
        <v>414</v>
      </c>
      <c r="F11" s="22">
        <v>3.6E-10</v>
      </c>
      <c r="G11" s="23">
        <v>1.5099999999999999E-13</v>
      </c>
    </row>
    <row r="12" spans="1:7" x14ac:dyDescent="0.5">
      <c r="A12" s="6" t="s">
        <v>198</v>
      </c>
      <c r="B12" s="6" t="s">
        <v>266</v>
      </c>
      <c r="C12" s="7" t="s">
        <v>115</v>
      </c>
      <c r="D12" s="6" t="s">
        <v>116</v>
      </c>
      <c r="E12" s="15" t="s">
        <v>413</v>
      </c>
      <c r="F12" s="16" t="s">
        <v>424</v>
      </c>
      <c r="G12" s="23">
        <v>3.4E-15</v>
      </c>
    </row>
    <row r="13" spans="1:7" x14ac:dyDescent="0.5">
      <c r="A13" s="6" t="s">
        <v>201</v>
      </c>
      <c r="B13" s="6" t="s">
        <v>270</v>
      </c>
      <c r="C13" s="6" t="s">
        <v>119</v>
      </c>
      <c r="D13" s="6" t="s">
        <v>120</v>
      </c>
      <c r="E13" s="21">
        <v>2.31E-11</v>
      </c>
      <c r="F13" s="22">
        <v>2.8000000000000001E-15</v>
      </c>
      <c r="G13" s="19"/>
    </row>
    <row r="14" spans="1:7" x14ac:dyDescent="0.5">
      <c r="A14" s="6" t="s">
        <v>204</v>
      </c>
      <c r="B14" s="6" t="s">
        <v>275</v>
      </c>
      <c r="C14" s="6" t="s">
        <v>121</v>
      </c>
      <c r="D14" s="6" t="s">
        <v>122</v>
      </c>
      <c r="E14" s="15" t="s">
        <v>401</v>
      </c>
      <c r="F14" s="16" t="s">
        <v>425</v>
      </c>
      <c r="G14" s="19" t="s">
        <v>433</v>
      </c>
    </row>
    <row r="15" spans="1:7" x14ac:dyDescent="0.5">
      <c r="A15" s="6" t="s">
        <v>209</v>
      </c>
      <c r="B15" s="6" t="s">
        <v>276</v>
      </c>
      <c r="C15" s="6" t="s">
        <v>123</v>
      </c>
      <c r="D15" s="6" t="s">
        <v>122</v>
      </c>
      <c r="E15" s="15" t="s">
        <v>401</v>
      </c>
      <c r="F15" s="22" t="s">
        <v>425</v>
      </c>
      <c r="G15" s="19" t="s">
        <v>433</v>
      </c>
    </row>
    <row r="16" spans="1:7" x14ac:dyDescent="0.5">
      <c r="A16" s="6" t="s">
        <v>391</v>
      </c>
      <c r="B16" s="6" t="s">
        <v>215</v>
      </c>
      <c r="C16" s="12" t="s">
        <v>128</v>
      </c>
      <c r="D16" s="6" t="s">
        <v>129</v>
      </c>
      <c r="E16" s="15" t="s">
        <v>417</v>
      </c>
      <c r="F16" s="16" t="s">
        <v>426</v>
      </c>
      <c r="G16" s="19" t="s">
        <v>434</v>
      </c>
    </row>
    <row r="17" spans="1:7" x14ac:dyDescent="0.5">
      <c r="A17" s="6" t="s">
        <v>211</v>
      </c>
      <c r="B17" s="6" t="s">
        <v>265</v>
      </c>
      <c r="C17" s="6" t="s">
        <v>210</v>
      </c>
      <c r="D17" s="6" t="s">
        <v>221</v>
      </c>
      <c r="E17" s="21">
        <v>1.1000000000000001E-11</v>
      </c>
      <c r="F17" s="22">
        <v>5.2700000000000004E-10</v>
      </c>
      <c r="G17" s="19"/>
    </row>
    <row r="18" spans="1:7" x14ac:dyDescent="0.5">
      <c r="A18" s="6" t="s">
        <v>230</v>
      </c>
      <c r="B18" s="6" t="s">
        <v>269</v>
      </c>
      <c r="C18" s="12" t="s">
        <v>222</v>
      </c>
      <c r="D18" s="6" t="s">
        <v>223</v>
      </c>
      <c r="E18" s="15" t="s">
        <v>410</v>
      </c>
      <c r="F18" s="22">
        <v>9.8999999999999994E-11</v>
      </c>
      <c r="G18" s="23">
        <v>2.3999999999999999E-15</v>
      </c>
    </row>
    <row r="19" spans="1:7" x14ac:dyDescent="0.5">
      <c r="A19" s="6" t="s">
        <v>260</v>
      </c>
      <c r="B19" s="6" t="s">
        <v>263</v>
      </c>
      <c r="C19" s="6" t="s">
        <v>233</v>
      </c>
      <c r="D19" s="6" t="s">
        <v>234</v>
      </c>
      <c r="E19" s="21">
        <v>6.5499999999999999E-14</v>
      </c>
      <c r="F19" s="22">
        <v>3.43E-11</v>
      </c>
      <c r="G19" s="19"/>
    </row>
    <row r="20" spans="1:7" x14ac:dyDescent="0.5">
      <c r="A20" s="6" t="s">
        <v>389</v>
      </c>
      <c r="B20" t="s">
        <v>271</v>
      </c>
      <c r="C20" s="20" t="s">
        <v>272</v>
      </c>
      <c r="D20" s="6" t="s">
        <v>415</v>
      </c>
      <c r="E20" s="21">
        <v>6.8899999999999999E-12</v>
      </c>
      <c r="F20" s="22">
        <v>3.8799999999999998E-11</v>
      </c>
      <c r="G20" s="19"/>
    </row>
    <row r="21" spans="1:7" x14ac:dyDescent="0.5">
      <c r="A21" t="s">
        <v>317</v>
      </c>
      <c r="B21" t="s">
        <v>278</v>
      </c>
      <c r="C21" s="12" t="s">
        <v>279</v>
      </c>
      <c r="D21" s="6" t="s">
        <v>394</v>
      </c>
      <c r="E21" s="15" t="s">
        <v>416</v>
      </c>
      <c r="F21" s="16" t="s">
        <v>427</v>
      </c>
      <c r="G21" s="19" t="s">
        <v>433</v>
      </c>
    </row>
    <row r="22" spans="1:7" x14ac:dyDescent="0.5">
      <c r="A22" t="s">
        <v>409</v>
      </c>
      <c r="B22" t="s">
        <v>280</v>
      </c>
      <c r="C22" s="12" t="s">
        <v>281</v>
      </c>
      <c r="D22" s="6" t="s">
        <v>395</v>
      </c>
      <c r="E22" s="15" t="s">
        <v>397</v>
      </c>
      <c r="F22" s="16" t="s">
        <v>428</v>
      </c>
      <c r="G22" s="19" t="s">
        <v>429</v>
      </c>
    </row>
    <row r="23" spans="1:7" x14ac:dyDescent="0.5">
      <c r="A23" t="s">
        <v>396</v>
      </c>
      <c r="B23" t="s">
        <v>283</v>
      </c>
      <c r="C23" t="s">
        <v>282</v>
      </c>
      <c r="D23" s="6" t="s">
        <v>291</v>
      </c>
      <c r="E23" s="21">
        <v>2.33E-11</v>
      </c>
      <c r="F23" s="22">
        <v>1.4499999999999999E-10</v>
      </c>
      <c r="G23" s="19"/>
    </row>
    <row r="24" spans="1:7" x14ac:dyDescent="0.5">
      <c r="A24" t="s">
        <v>392</v>
      </c>
      <c r="B24" t="s">
        <v>284</v>
      </c>
      <c r="C24" s="20" t="s">
        <v>285</v>
      </c>
      <c r="D24" s="6" t="s">
        <v>291</v>
      </c>
      <c r="E24" s="21">
        <v>2.33E-11</v>
      </c>
      <c r="F24" s="22">
        <v>1.4499999999999999E-10</v>
      </c>
      <c r="G24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9C416-3190-4968-9EC9-41372C6626B4}">
  <dimension ref="A1:O37"/>
  <sheetViews>
    <sheetView workbookViewId="0">
      <selection activeCell="J17" sqref="J17"/>
    </sheetView>
  </sheetViews>
  <sheetFormatPr defaultRowHeight="15.75" x14ac:dyDescent="0.5"/>
  <cols>
    <col min="1" max="1" width="18" customWidth="1"/>
    <col min="2" max="2" width="16.375" customWidth="1"/>
    <col min="3" max="3" width="13.1875" customWidth="1"/>
    <col min="4" max="4" width="14.625" customWidth="1"/>
    <col min="5" max="5" width="15.5" customWidth="1"/>
    <col min="6" max="6" width="17.375" customWidth="1"/>
    <col min="9" max="10" width="23.8125" customWidth="1"/>
    <col min="11" max="11" width="25.6875" customWidth="1"/>
    <col min="12" max="12" width="31.3125" customWidth="1"/>
    <col min="13" max="13" width="17.5" customWidth="1"/>
    <col min="14" max="14" width="16.375" customWidth="1"/>
  </cols>
  <sheetData>
    <row r="1" spans="1:15" x14ac:dyDescent="0.5">
      <c r="E1" s="15" t="s">
        <v>325</v>
      </c>
      <c r="F1" s="19" t="s">
        <v>339</v>
      </c>
      <c r="G1" s="16" t="s">
        <v>369</v>
      </c>
      <c r="L1" s="15" t="s">
        <v>326</v>
      </c>
      <c r="M1" s="16" t="s">
        <v>329</v>
      </c>
    </row>
    <row r="2" spans="1:15" s="6" customFormat="1" ht="69.599999999999994" customHeight="1" x14ac:dyDescent="0.5">
      <c r="C2" s="17" t="s">
        <v>310</v>
      </c>
      <c r="D2" s="17" t="s">
        <v>314</v>
      </c>
      <c r="E2" s="17" t="s">
        <v>313</v>
      </c>
      <c r="F2" s="17" t="s">
        <v>309</v>
      </c>
      <c r="G2" s="17" t="s">
        <v>315</v>
      </c>
      <c r="H2" s="17" t="s">
        <v>316</v>
      </c>
      <c r="I2" s="17" t="s">
        <v>319</v>
      </c>
      <c r="J2" s="17"/>
      <c r="K2" s="18" t="s">
        <v>330</v>
      </c>
      <c r="L2" s="18" t="s">
        <v>331</v>
      </c>
      <c r="M2" s="18" t="s">
        <v>327</v>
      </c>
      <c r="N2" s="18" t="s">
        <v>328</v>
      </c>
      <c r="O2" s="18" t="s">
        <v>316</v>
      </c>
    </row>
    <row r="3" spans="1:15" x14ac:dyDescent="0.5">
      <c r="A3" s="6" t="s">
        <v>188</v>
      </c>
      <c r="B3" s="6" t="s">
        <v>344</v>
      </c>
      <c r="K3" s="15" t="s">
        <v>334</v>
      </c>
      <c r="L3" s="15"/>
      <c r="M3" s="15" t="s">
        <v>332</v>
      </c>
      <c r="N3" s="15">
        <v>1.2</v>
      </c>
      <c r="O3" s="15"/>
    </row>
    <row r="4" spans="1:15" x14ac:dyDescent="0.5">
      <c r="A4" s="6" t="s">
        <v>188</v>
      </c>
      <c r="B4" s="6" t="s">
        <v>344</v>
      </c>
      <c r="K4" s="16" t="s">
        <v>333</v>
      </c>
      <c r="L4" s="16" t="s">
        <v>336</v>
      </c>
      <c r="M4" s="16" t="s">
        <v>337</v>
      </c>
      <c r="N4" s="16">
        <v>1.1000000000000001</v>
      </c>
      <c r="O4" s="16">
        <v>50</v>
      </c>
    </row>
    <row r="5" spans="1:15" x14ac:dyDescent="0.5">
      <c r="A5" t="s">
        <v>159</v>
      </c>
      <c r="B5" t="s">
        <v>346</v>
      </c>
      <c r="C5" s="15" t="s">
        <v>322</v>
      </c>
      <c r="D5" s="15" t="s">
        <v>323</v>
      </c>
      <c r="E5" s="15">
        <v>345</v>
      </c>
      <c r="F5" s="15" t="s">
        <v>324</v>
      </c>
      <c r="G5" s="15">
        <v>1.1000000000000001</v>
      </c>
      <c r="H5" s="15">
        <v>60</v>
      </c>
    </row>
    <row r="6" spans="1:15" x14ac:dyDescent="0.5">
      <c r="A6" t="s">
        <v>159</v>
      </c>
      <c r="B6" t="s">
        <v>346</v>
      </c>
      <c r="C6" s="16" t="s">
        <v>370</v>
      </c>
      <c r="D6" s="16" t="s">
        <v>371</v>
      </c>
      <c r="E6" s="16">
        <v>0</v>
      </c>
      <c r="F6" s="16" t="s">
        <v>371</v>
      </c>
      <c r="G6" s="16">
        <v>1.2</v>
      </c>
      <c r="H6" s="16">
        <v>100</v>
      </c>
    </row>
    <row r="7" spans="1:15" x14ac:dyDescent="0.5">
      <c r="A7" t="s">
        <v>166</v>
      </c>
      <c r="B7" t="s">
        <v>347</v>
      </c>
      <c r="C7" s="15" t="s">
        <v>320</v>
      </c>
      <c r="D7" s="15" t="s">
        <v>321</v>
      </c>
      <c r="E7" s="15">
        <v>0</v>
      </c>
      <c r="F7" s="15" t="s">
        <v>321</v>
      </c>
      <c r="G7" s="15">
        <v>1.05</v>
      </c>
      <c r="H7" s="15">
        <v>20</v>
      </c>
    </row>
    <row r="8" spans="1:15" x14ac:dyDescent="0.5">
      <c r="A8" t="s">
        <v>166</v>
      </c>
      <c r="B8" t="s">
        <v>347</v>
      </c>
      <c r="C8" s="16" t="s">
        <v>367</v>
      </c>
      <c r="D8" s="16" t="s">
        <v>368</v>
      </c>
      <c r="E8" s="16">
        <v>0</v>
      </c>
      <c r="F8" s="16" t="s">
        <v>368</v>
      </c>
      <c r="G8" s="16">
        <v>1.2</v>
      </c>
      <c r="H8" s="16">
        <v>100</v>
      </c>
    </row>
    <row r="9" spans="1:15" x14ac:dyDescent="0.5">
      <c r="A9" s="6" t="s">
        <v>211</v>
      </c>
      <c r="B9" t="s">
        <v>348</v>
      </c>
      <c r="C9" s="15" t="s">
        <v>311</v>
      </c>
      <c r="D9" s="15" t="s">
        <v>312</v>
      </c>
      <c r="E9" s="15">
        <v>-360</v>
      </c>
      <c r="F9" s="15" t="s">
        <v>308</v>
      </c>
      <c r="G9" s="15">
        <v>1.07</v>
      </c>
      <c r="H9" s="15">
        <v>75</v>
      </c>
    </row>
    <row r="10" spans="1:15" x14ac:dyDescent="0.5">
      <c r="A10" s="6" t="s">
        <v>211</v>
      </c>
      <c r="B10" t="s">
        <v>348</v>
      </c>
      <c r="C10" s="19" t="s">
        <v>349</v>
      </c>
      <c r="D10" s="19" t="s">
        <v>350</v>
      </c>
      <c r="E10" s="19">
        <v>-210</v>
      </c>
      <c r="F10" s="19" t="s">
        <v>351</v>
      </c>
      <c r="G10" s="19">
        <v>1.25</v>
      </c>
      <c r="H10" s="19">
        <v>200</v>
      </c>
    </row>
    <row r="11" spans="1:15" x14ac:dyDescent="0.5">
      <c r="A11" s="6" t="s">
        <v>211</v>
      </c>
      <c r="B11" t="s">
        <v>348</v>
      </c>
      <c r="C11" s="16" t="s">
        <v>352</v>
      </c>
      <c r="D11" s="16" t="s">
        <v>353</v>
      </c>
      <c r="E11" s="16">
        <v>-150</v>
      </c>
      <c r="F11" s="16" t="s">
        <v>335</v>
      </c>
      <c r="G11" s="16">
        <v>1.1000000000000001</v>
      </c>
      <c r="H11" s="16">
        <v>100</v>
      </c>
    </row>
    <row r="12" spans="1:15" x14ac:dyDescent="0.5">
      <c r="A12" s="6" t="s">
        <v>317</v>
      </c>
      <c r="B12" t="s">
        <v>345</v>
      </c>
      <c r="C12" s="15" t="s">
        <v>318</v>
      </c>
      <c r="D12" s="15"/>
      <c r="E12" s="15"/>
      <c r="F12" s="15"/>
      <c r="G12" s="15"/>
      <c r="H12" s="15"/>
      <c r="I12" s="6" t="s">
        <v>338</v>
      </c>
    </row>
    <row r="13" spans="1:15" x14ac:dyDescent="0.5">
      <c r="A13" s="6" t="s">
        <v>317</v>
      </c>
      <c r="B13" t="s">
        <v>345</v>
      </c>
      <c r="C13" s="16" t="s">
        <v>372</v>
      </c>
      <c r="D13" s="16" t="s">
        <v>373</v>
      </c>
      <c r="E13" s="16">
        <v>610</v>
      </c>
      <c r="F13" s="16" t="s">
        <v>374</v>
      </c>
      <c r="G13" s="16">
        <v>1.07</v>
      </c>
      <c r="H13" s="16">
        <v>50</v>
      </c>
      <c r="I13" s="6"/>
    </row>
    <row r="14" spans="1:15" x14ac:dyDescent="0.5">
      <c r="A14" t="s">
        <v>164</v>
      </c>
      <c r="B14" t="s">
        <v>340</v>
      </c>
      <c r="C14" s="15" t="s">
        <v>378</v>
      </c>
      <c r="D14" s="15" t="s">
        <v>379</v>
      </c>
      <c r="E14" s="15">
        <v>-350</v>
      </c>
      <c r="F14" s="15" t="s">
        <v>380</v>
      </c>
      <c r="G14" s="15">
        <v>1.05</v>
      </c>
      <c r="H14" s="15">
        <v>20</v>
      </c>
      <c r="I14" s="6"/>
    </row>
    <row r="15" spans="1:15" x14ac:dyDescent="0.5">
      <c r="A15" t="s">
        <v>164</v>
      </c>
      <c r="B15" t="s">
        <v>340</v>
      </c>
      <c r="C15" s="19" t="s">
        <v>341</v>
      </c>
      <c r="D15" s="19" t="s">
        <v>342</v>
      </c>
      <c r="E15" s="19">
        <v>1900</v>
      </c>
      <c r="F15" s="19" t="s">
        <v>343</v>
      </c>
      <c r="G15" s="19">
        <v>1.3</v>
      </c>
      <c r="H15" s="19">
        <v>300</v>
      </c>
    </row>
    <row r="16" spans="1:15" x14ac:dyDescent="0.5">
      <c r="A16" t="s">
        <v>354</v>
      </c>
      <c r="B16" t="s">
        <v>360</v>
      </c>
      <c r="C16" s="15" t="s">
        <v>361</v>
      </c>
      <c r="D16" s="15" t="s">
        <v>362</v>
      </c>
      <c r="E16" s="15">
        <v>-580</v>
      </c>
      <c r="F16" s="15" t="s">
        <v>363</v>
      </c>
      <c r="G16" s="15">
        <v>1.07</v>
      </c>
      <c r="H16" s="15">
        <v>100</v>
      </c>
    </row>
    <row r="17" spans="1:8" x14ac:dyDescent="0.5">
      <c r="A17" t="s">
        <v>354</v>
      </c>
      <c r="B17" t="s">
        <v>360</v>
      </c>
      <c r="C17" s="19" t="s">
        <v>364</v>
      </c>
      <c r="D17" s="19"/>
      <c r="E17" s="19"/>
      <c r="F17" s="19" t="s">
        <v>365</v>
      </c>
      <c r="G17" s="19"/>
      <c r="H17" s="19"/>
    </row>
    <row r="18" spans="1:8" x14ac:dyDescent="0.5">
      <c r="A18" t="s">
        <v>354</v>
      </c>
      <c r="B18" t="s">
        <v>360</v>
      </c>
      <c r="C18" s="16" t="s">
        <v>375</v>
      </c>
      <c r="D18" s="16"/>
      <c r="E18" s="16"/>
      <c r="F18" s="16" t="s">
        <v>376</v>
      </c>
      <c r="G18" s="16">
        <v>1.1000000000000001</v>
      </c>
      <c r="H18" s="16"/>
    </row>
    <row r="19" spans="1:8" x14ac:dyDescent="0.5">
      <c r="A19" t="s">
        <v>359</v>
      </c>
      <c r="B19" t="s">
        <v>355</v>
      </c>
      <c r="C19" s="15" t="s">
        <v>356</v>
      </c>
      <c r="D19" s="15" t="s">
        <v>357</v>
      </c>
      <c r="E19" s="15">
        <v>-360</v>
      </c>
      <c r="F19" s="15" t="s">
        <v>358</v>
      </c>
      <c r="G19" s="15">
        <v>1.1499999999999999</v>
      </c>
      <c r="H19" s="15">
        <v>100</v>
      </c>
    </row>
    <row r="20" spans="1:8" x14ac:dyDescent="0.5">
      <c r="A20" t="s">
        <v>359</v>
      </c>
      <c r="B20" t="s">
        <v>355</v>
      </c>
      <c r="C20" s="19" t="s">
        <v>364</v>
      </c>
      <c r="D20" s="19"/>
      <c r="E20" s="19"/>
      <c r="F20" s="19" t="s">
        <v>366</v>
      </c>
      <c r="G20" s="19">
        <v>1.25</v>
      </c>
      <c r="H20" s="19"/>
    </row>
    <row r="21" spans="1:8" x14ac:dyDescent="0.5">
      <c r="A21" t="s">
        <v>359</v>
      </c>
      <c r="B21" t="s">
        <v>355</v>
      </c>
      <c r="C21" s="16" t="s">
        <v>375</v>
      </c>
      <c r="D21" s="16"/>
      <c r="E21" s="16"/>
      <c r="F21" s="16" t="s">
        <v>377</v>
      </c>
      <c r="G21" s="16">
        <v>1.3</v>
      </c>
      <c r="H21" s="16"/>
    </row>
    <row r="23" spans="1:8" x14ac:dyDescent="0.5">
      <c r="A23" s="6" t="s">
        <v>260</v>
      </c>
      <c r="B23" t="s">
        <v>381</v>
      </c>
      <c r="C23" s="15" t="s">
        <v>382</v>
      </c>
      <c r="D23" s="15" t="s">
        <v>383</v>
      </c>
      <c r="E23" s="15">
        <v>1050</v>
      </c>
      <c r="F23" s="15" t="s">
        <v>384</v>
      </c>
      <c r="G23" s="15">
        <v>1.7</v>
      </c>
      <c r="H23" s="15">
        <v>200</v>
      </c>
    </row>
    <row r="24" spans="1:8" x14ac:dyDescent="0.5">
      <c r="A24" s="6"/>
      <c r="B24" t="s">
        <v>381</v>
      </c>
      <c r="C24" s="16" t="s">
        <v>385</v>
      </c>
      <c r="D24" s="16" t="s">
        <v>386</v>
      </c>
      <c r="E24" s="16">
        <v>2140</v>
      </c>
      <c r="F24" s="16" t="s">
        <v>387</v>
      </c>
      <c r="G24" s="16">
        <v>2</v>
      </c>
      <c r="H24" s="16">
        <v>300</v>
      </c>
    </row>
    <row r="25" spans="1:8" x14ac:dyDescent="0.5">
      <c r="A25" s="6" t="s">
        <v>220</v>
      </c>
    </row>
    <row r="26" spans="1:8" x14ac:dyDescent="0.5">
      <c r="A26" s="6" t="s">
        <v>181</v>
      </c>
    </row>
    <row r="27" spans="1:8" x14ac:dyDescent="0.5">
      <c r="A27" s="6" t="s">
        <v>197</v>
      </c>
    </row>
    <row r="28" spans="1:8" x14ac:dyDescent="0.5">
      <c r="A28" s="6" t="s">
        <v>198</v>
      </c>
    </row>
    <row r="29" spans="1:8" x14ac:dyDescent="0.5">
      <c r="A29" s="6" t="s">
        <v>201</v>
      </c>
    </row>
    <row r="30" spans="1:8" x14ac:dyDescent="0.5">
      <c r="A30" s="6" t="s">
        <v>204</v>
      </c>
    </row>
    <row r="31" spans="1:8" x14ac:dyDescent="0.5">
      <c r="A31" s="6" t="s">
        <v>209</v>
      </c>
    </row>
    <row r="32" spans="1:8" x14ac:dyDescent="0.5">
      <c r="A32" s="6"/>
    </row>
    <row r="33" spans="1:1" x14ac:dyDescent="0.5">
      <c r="A33" s="6"/>
    </row>
    <row r="34" spans="1:1" x14ac:dyDescent="0.5">
      <c r="A34" s="6"/>
    </row>
    <row r="35" spans="1:1" x14ac:dyDescent="0.5">
      <c r="A35" s="6"/>
    </row>
    <row r="36" spans="1:1" x14ac:dyDescent="0.5">
      <c r="A36" s="6"/>
    </row>
    <row r="37" spans="1:1" x14ac:dyDescent="0.5">
      <c r="A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B7A6A-350C-43B9-95A0-CA3C4CB91608}">
  <dimension ref="A1"/>
  <sheetViews>
    <sheetView workbookViewId="0">
      <selection activeCell="D27" sqref="D27"/>
    </sheetView>
  </sheetViews>
  <sheetFormatPr defaultRowHeight="15.75" x14ac:dyDescent="0.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D498-F10E-4C29-AFFD-33425BB80442}">
  <dimension ref="A1:R76"/>
  <sheetViews>
    <sheetView tabSelected="1" zoomScale="70" zoomScaleNormal="70" workbookViewId="0">
      <pane ySplit="1" topLeftCell="A20" activePane="bottomLeft" state="frozen"/>
      <selection activeCell="C1" sqref="C1"/>
      <selection pane="bottomLeft" activeCell="G30" sqref="G30"/>
    </sheetView>
  </sheetViews>
  <sheetFormatPr defaultColWidth="10.6875" defaultRowHeight="15.75" x14ac:dyDescent="0.5"/>
  <cols>
    <col min="1" max="1" width="30.5" customWidth="1"/>
    <col min="2" max="3" width="22.8125" customWidth="1"/>
    <col min="4" max="4" width="19.875" customWidth="1"/>
    <col min="5" max="5" width="23.6875" customWidth="1"/>
    <col min="6" max="6" width="10.8125" customWidth="1"/>
    <col min="7" max="7" width="47.3125" customWidth="1"/>
    <col min="8" max="11" width="18.6875" customWidth="1"/>
    <col min="12" max="12" width="18.6875" hidden="1" customWidth="1"/>
    <col min="13" max="14" width="18.6875" customWidth="1"/>
  </cols>
  <sheetData>
    <row r="1" spans="1:18" x14ac:dyDescent="0.5">
      <c r="A1" t="s">
        <v>147</v>
      </c>
      <c r="B1" t="s">
        <v>142</v>
      </c>
      <c r="C1" t="s">
        <v>214</v>
      </c>
      <c r="D1" t="s">
        <v>143</v>
      </c>
      <c r="E1" t="s">
        <v>436</v>
      </c>
      <c r="F1" t="s">
        <v>0</v>
      </c>
      <c r="G1" t="s">
        <v>144</v>
      </c>
      <c r="H1" t="s">
        <v>1</v>
      </c>
      <c r="I1" t="s">
        <v>235</v>
      </c>
      <c r="J1" t="s">
        <v>224</v>
      </c>
      <c r="K1" t="s">
        <v>236</v>
      </c>
      <c r="L1" t="s">
        <v>239</v>
      </c>
      <c r="M1" t="s">
        <v>250</v>
      </c>
      <c r="O1" t="s">
        <v>2</v>
      </c>
      <c r="P1" t="s">
        <v>3</v>
      </c>
      <c r="Q1" t="s">
        <v>136</v>
      </c>
      <c r="R1" t="s">
        <v>258</v>
      </c>
    </row>
    <row r="2" spans="1:18" x14ac:dyDescent="0.5">
      <c r="A2" t="s">
        <v>154</v>
      </c>
      <c r="B2" t="s">
        <v>154</v>
      </c>
      <c r="D2" t="s">
        <v>90</v>
      </c>
      <c r="F2" t="s">
        <v>5</v>
      </c>
      <c r="G2" t="s">
        <v>6</v>
      </c>
      <c r="H2" t="s">
        <v>5</v>
      </c>
      <c r="K2" t="s">
        <v>5</v>
      </c>
      <c r="M2" t="b">
        <v>1</v>
      </c>
      <c r="O2" t="s">
        <v>4</v>
      </c>
      <c r="P2" t="s">
        <v>77</v>
      </c>
      <c r="Q2" t="s">
        <v>132</v>
      </c>
    </row>
    <row r="3" spans="1:18" x14ac:dyDescent="0.5">
      <c r="A3" t="s">
        <v>153</v>
      </c>
      <c r="B3" t="s">
        <v>153</v>
      </c>
      <c r="D3" t="s">
        <v>89</v>
      </c>
      <c r="F3" t="s">
        <v>11</v>
      </c>
      <c r="G3" t="s">
        <v>7</v>
      </c>
      <c r="H3" t="s">
        <v>11</v>
      </c>
      <c r="K3" t="s">
        <v>11</v>
      </c>
      <c r="M3" t="b">
        <v>1</v>
      </c>
      <c r="O3" t="s">
        <v>12</v>
      </c>
      <c r="P3" t="s">
        <v>79</v>
      </c>
      <c r="Q3" t="s">
        <v>133</v>
      </c>
    </row>
    <row r="4" spans="1:18" s="6" customFormat="1" x14ac:dyDescent="0.5">
      <c r="A4" s="6" t="s">
        <v>188</v>
      </c>
      <c r="B4" s="6" t="s">
        <v>152</v>
      </c>
      <c r="D4" s="6" t="s">
        <v>88</v>
      </c>
      <c r="F4" s="6" t="s">
        <v>9</v>
      </c>
      <c r="G4" s="6" t="s">
        <v>8</v>
      </c>
      <c r="H4" s="6" t="s">
        <v>117</v>
      </c>
      <c r="J4" s="6" t="s">
        <v>133</v>
      </c>
      <c r="K4" s="6" t="s">
        <v>9</v>
      </c>
      <c r="M4" t="b">
        <v>1</v>
      </c>
      <c r="N4"/>
      <c r="O4" s="6" t="s">
        <v>10</v>
      </c>
      <c r="P4" s="6" t="s">
        <v>80</v>
      </c>
      <c r="Q4" s="6" t="s">
        <v>133</v>
      </c>
    </row>
    <row r="5" spans="1:18" x14ac:dyDescent="0.5">
      <c r="A5" t="s">
        <v>187</v>
      </c>
      <c r="B5" t="s">
        <v>150</v>
      </c>
      <c r="D5" s="1" t="s">
        <v>87</v>
      </c>
      <c r="E5" s="1"/>
      <c r="F5" t="s">
        <v>13</v>
      </c>
      <c r="G5" s="1" t="s">
        <v>38</v>
      </c>
      <c r="H5" t="s">
        <v>13</v>
      </c>
      <c r="K5" t="s">
        <v>13</v>
      </c>
      <c r="M5" t="b">
        <v>1</v>
      </c>
      <c r="O5" t="s">
        <v>34</v>
      </c>
      <c r="P5" t="s">
        <v>78</v>
      </c>
    </row>
    <row r="6" spans="1:18" x14ac:dyDescent="0.5">
      <c r="A6" t="s">
        <v>186</v>
      </c>
      <c r="B6" t="s">
        <v>151</v>
      </c>
      <c r="D6" s="1" t="s">
        <v>86</v>
      </c>
      <c r="E6" s="1"/>
      <c r="F6" t="s">
        <v>14</v>
      </c>
      <c r="G6" s="1" t="s">
        <v>39</v>
      </c>
      <c r="H6" t="s">
        <v>14</v>
      </c>
      <c r="K6" t="s">
        <v>14</v>
      </c>
      <c r="M6" t="b">
        <v>1</v>
      </c>
      <c r="O6" t="s">
        <v>35</v>
      </c>
      <c r="P6" t="s">
        <v>137</v>
      </c>
    </row>
    <row r="7" spans="1:18" x14ac:dyDescent="0.5">
      <c r="A7" t="s">
        <v>149</v>
      </c>
      <c r="B7" t="s">
        <v>149</v>
      </c>
      <c r="D7" s="1" t="s">
        <v>85</v>
      </c>
      <c r="E7" s="1"/>
      <c r="F7" t="s">
        <v>15</v>
      </c>
      <c r="G7" s="1" t="s">
        <v>37</v>
      </c>
      <c r="H7" t="s">
        <v>15</v>
      </c>
      <c r="K7" t="s">
        <v>237</v>
      </c>
      <c r="M7" t="b">
        <v>1</v>
      </c>
      <c r="O7" t="s">
        <v>36</v>
      </c>
      <c r="P7" t="s">
        <v>138</v>
      </c>
    </row>
    <row r="8" spans="1:18" x14ac:dyDescent="0.5">
      <c r="A8" t="s">
        <v>148</v>
      </c>
      <c r="B8" t="s">
        <v>148</v>
      </c>
      <c r="D8" s="1" t="s">
        <v>84</v>
      </c>
      <c r="E8" s="1"/>
      <c r="F8" t="s">
        <v>16</v>
      </c>
      <c r="G8" s="1" t="s">
        <v>40</v>
      </c>
      <c r="H8" t="s">
        <v>16</v>
      </c>
      <c r="K8" t="s">
        <v>16</v>
      </c>
      <c r="M8" t="b">
        <v>1</v>
      </c>
      <c r="O8" t="s">
        <v>41</v>
      </c>
      <c r="P8" t="s">
        <v>139</v>
      </c>
    </row>
    <row r="9" spans="1:18" x14ac:dyDescent="0.5">
      <c r="A9" t="s">
        <v>184</v>
      </c>
      <c r="B9" t="s">
        <v>146</v>
      </c>
      <c r="D9" s="1" t="s">
        <v>83</v>
      </c>
      <c r="E9" s="1"/>
      <c r="F9" t="s">
        <v>17</v>
      </c>
      <c r="G9" s="1" t="s">
        <v>42</v>
      </c>
      <c r="H9" t="s">
        <v>17</v>
      </c>
      <c r="K9" t="s">
        <v>17</v>
      </c>
      <c r="M9" t="b">
        <v>1</v>
      </c>
      <c r="O9" t="s">
        <v>43</v>
      </c>
      <c r="P9" t="s">
        <v>140</v>
      </c>
    </row>
    <row r="10" spans="1:18" x14ac:dyDescent="0.5">
      <c r="A10" t="s">
        <v>185</v>
      </c>
      <c r="B10" t="s">
        <v>145</v>
      </c>
      <c r="D10" s="1" t="s">
        <v>82</v>
      </c>
      <c r="E10" s="1"/>
      <c r="F10" t="s">
        <v>18</v>
      </c>
      <c r="G10" s="1" t="s">
        <v>44</v>
      </c>
      <c r="H10" t="s">
        <v>81</v>
      </c>
      <c r="K10" t="s">
        <v>81</v>
      </c>
      <c r="M10" t="b">
        <v>0</v>
      </c>
      <c r="O10" t="s">
        <v>45</v>
      </c>
      <c r="P10" t="s">
        <v>141</v>
      </c>
    </row>
    <row r="11" spans="1:18" x14ac:dyDescent="0.5">
      <c r="A11" t="s">
        <v>220</v>
      </c>
      <c r="B11" t="s">
        <v>155</v>
      </c>
      <c r="D11" s="1" t="s">
        <v>91</v>
      </c>
      <c r="E11" s="1"/>
      <c r="F11" t="s">
        <v>19</v>
      </c>
      <c r="G11" s="1" t="s">
        <v>46</v>
      </c>
      <c r="H11" t="s">
        <v>400</v>
      </c>
      <c r="K11" t="s">
        <v>19</v>
      </c>
      <c r="M11" t="b">
        <v>1</v>
      </c>
      <c r="O11" t="s">
        <v>47</v>
      </c>
      <c r="P11" t="s">
        <v>163</v>
      </c>
    </row>
    <row r="12" spans="1:18" s="6" customFormat="1" x14ac:dyDescent="0.5">
      <c r="A12" s="6" t="s">
        <v>181</v>
      </c>
      <c r="D12" s="7" t="s">
        <v>92</v>
      </c>
      <c r="E12" s="7"/>
      <c r="F12" s="6" t="s">
        <v>20</v>
      </c>
      <c r="G12" s="7" t="s">
        <v>48</v>
      </c>
      <c r="H12" s="6" t="s">
        <v>227</v>
      </c>
      <c r="J12" s="6" t="s">
        <v>133</v>
      </c>
      <c r="K12" s="6" t="s">
        <v>238</v>
      </c>
      <c r="L12" s="6" t="s">
        <v>240</v>
      </c>
      <c r="M12" s="6" t="b">
        <v>0</v>
      </c>
      <c r="O12" s="6" t="s">
        <v>251</v>
      </c>
    </row>
    <row r="13" spans="1:18" x14ac:dyDescent="0.5">
      <c r="A13" t="s">
        <v>156</v>
      </c>
      <c r="B13" t="s">
        <v>156</v>
      </c>
      <c r="D13" s="1" t="s">
        <v>93</v>
      </c>
      <c r="E13" s="1"/>
      <c r="F13" t="s">
        <v>21</v>
      </c>
      <c r="G13" s="1" t="s">
        <v>49</v>
      </c>
      <c r="H13" t="s">
        <v>21</v>
      </c>
      <c r="K13" t="s">
        <v>21</v>
      </c>
      <c r="M13" t="b">
        <v>1</v>
      </c>
      <c r="O13" t="s">
        <v>50</v>
      </c>
      <c r="P13" t="s">
        <v>162</v>
      </c>
    </row>
    <row r="14" spans="1:18" x14ac:dyDescent="0.5">
      <c r="A14" t="s">
        <v>157</v>
      </c>
      <c r="B14" t="s">
        <v>157</v>
      </c>
      <c r="D14" s="1" t="s">
        <v>94</v>
      </c>
      <c r="E14" s="1"/>
      <c r="F14" t="s">
        <v>22</v>
      </c>
      <c r="G14" s="1" t="s">
        <v>51</v>
      </c>
      <c r="H14" t="s">
        <v>106</v>
      </c>
      <c r="K14" t="s">
        <v>22</v>
      </c>
      <c r="M14" t="b">
        <v>1</v>
      </c>
      <c r="O14" t="s">
        <v>52</v>
      </c>
      <c r="P14" t="s">
        <v>161</v>
      </c>
    </row>
    <row r="15" spans="1:18" x14ac:dyDescent="0.5">
      <c r="A15" t="s">
        <v>158</v>
      </c>
      <c r="B15" t="s">
        <v>158</v>
      </c>
      <c r="D15" s="1" t="s">
        <v>95</v>
      </c>
      <c r="E15" s="1"/>
      <c r="F15" t="s">
        <v>23</v>
      </c>
      <c r="G15" s="1" t="s">
        <v>54</v>
      </c>
      <c r="H15" t="s">
        <v>23</v>
      </c>
      <c r="K15" t="s">
        <v>241</v>
      </c>
      <c r="M15" t="b">
        <v>1</v>
      </c>
      <c r="O15" t="s">
        <v>53</v>
      </c>
      <c r="P15" t="s">
        <v>160</v>
      </c>
    </row>
    <row r="16" spans="1:18" x14ac:dyDescent="0.5">
      <c r="A16" t="s">
        <v>159</v>
      </c>
      <c r="B16" t="s">
        <v>159</v>
      </c>
      <c r="D16" s="1" t="s">
        <v>100</v>
      </c>
      <c r="E16" s="1"/>
      <c r="F16" t="s">
        <v>24</v>
      </c>
      <c r="G16" s="1" t="s">
        <v>55</v>
      </c>
      <c r="H16" t="s">
        <v>107</v>
      </c>
      <c r="K16" t="s">
        <v>107</v>
      </c>
      <c r="M16" t="b">
        <v>1</v>
      </c>
      <c r="O16" t="s">
        <v>56</v>
      </c>
      <c r="P16" t="s">
        <v>11</v>
      </c>
    </row>
    <row r="17" spans="1:17" x14ac:dyDescent="0.5">
      <c r="A17" t="s">
        <v>182</v>
      </c>
      <c r="B17" t="s">
        <v>164</v>
      </c>
      <c r="D17" s="1" t="s">
        <v>96</v>
      </c>
      <c r="E17" s="1"/>
      <c r="F17" t="s">
        <v>25</v>
      </c>
      <c r="G17" s="1" t="s">
        <v>57</v>
      </c>
      <c r="H17" t="s">
        <v>108</v>
      </c>
      <c r="K17" t="s">
        <v>25</v>
      </c>
      <c r="M17" t="b">
        <v>1</v>
      </c>
      <c r="O17" t="s">
        <v>58</v>
      </c>
      <c r="P17" t="s">
        <v>165</v>
      </c>
    </row>
    <row r="18" spans="1:17" x14ac:dyDescent="0.5">
      <c r="A18" t="s">
        <v>183</v>
      </c>
      <c r="B18" t="s">
        <v>166</v>
      </c>
      <c r="D18" s="1" t="s">
        <v>97</v>
      </c>
      <c r="E18" s="1"/>
      <c r="F18" t="s">
        <v>26</v>
      </c>
      <c r="G18" s="1" t="s">
        <v>59</v>
      </c>
      <c r="H18" t="s">
        <v>109</v>
      </c>
      <c r="K18" t="s">
        <v>109</v>
      </c>
      <c r="M18" t="b">
        <v>1</v>
      </c>
      <c r="O18" t="s">
        <v>60</v>
      </c>
      <c r="P18" t="s">
        <v>167</v>
      </c>
      <c r="Q18" t="s">
        <v>133</v>
      </c>
    </row>
    <row r="19" spans="1:17" x14ac:dyDescent="0.5">
      <c r="A19" t="s">
        <v>168</v>
      </c>
      <c r="B19" t="s">
        <v>168</v>
      </c>
      <c r="D19" s="1" t="s">
        <v>98</v>
      </c>
      <c r="E19" s="1"/>
      <c r="F19" t="s">
        <v>27</v>
      </c>
      <c r="G19" s="1" t="s">
        <v>61</v>
      </c>
      <c r="H19" t="s">
        <v>75</v>
      </c>
      <c r="K19" t="s">
        <v>242</v>
      </c>
      <c r="M19" t="b">
        <v>1</v>
      </c>
      <c r="O19" t="s">
        <v>62</v>
      </c>
      <c r="P19" t="s">
        <v>76</v>
      </c>
    </row>
    <row r="20" spans="1:17" x14ac:dyDescent="0.5">
      <c r="A20" t="s">
        <v>169</v>
      </c>
      <c r="B20" t="s">
        <v>169</v>
      </c>
      <c r="D20" s="1" t="s">
        <v>99</v>
      </c>
      <c r="E20" s="1"/>
      <c r="F20" t="s">
        <v>28</v>
      </c>
      <c r="G20" s="1" t="s">
        <v>63</v>
      </c>
      <c r="H20" t="s">
        <v>110</v>
      </c>
      <c r="K20" t="s">
        <v>243</v>
      </c>
      <c r="M20" t="b">
        <v>1</v>
      </c>
      <c r="O20" t="s">
        <v>64</v>
      </c>
      <c r="P20" t="s">
        <v>170</v>
      </c>
    </row>
    <row r="21" spans="1:17" x14ac:dyDescent="0.5">
      <c r="A21" t="s">
        <v>178</v>
      </c>
      <c r="B21" t="s">
        <v>171</v>
      </c>
      <c r="D21" s="1" t="s">
        <v>102</v>
      </c>
      <c r="E21" s="1"/>
      <c r="F21" t="s">
        <v>31</v>
      </c>
      <c r="G21" s="1" t="s">
        <v>65</v>
      </c>
      <c r="H21" t="s">
        <v>31</v>
      </c>
      <c r="K21" t="s">
        <v>244</v>
      </c>
      <c r="M21" t="b">
        <v>1</v>
      </c>
      <c r="O21" t="s">
        <v>66</v>
      </c>
      <c r="P21" t="s">
        <v>172</v>
      </c>
    </row>
    <row r="22" spans="1:17" x14ac:dyDescent="0.5">
      <c r="A22" t="s">
        <v>179</v>
      </c>
      <c r="B22" t="s">
        <v>173</v>
      </c>
      <c r="D22" s="1" t="s">
        <v>103</v>
      </c>
      <c r="E22" s="1"/>
      <c r="F22" t="s">
        <v>32</v>
      </c>
      <c r="G22" s="1" t="s">
        <v>68</v>
      </c>
      <c r="H22" t="s">
        <v>32</v>
      </c>
      <c r="K22" t="s">
        <v>245</v>
      </c>
      <c r="M22" t="b">
        <v>1</v>
      </c>
      <c r="O22" t="s">
        <v>67</v>
      </c>
      <c r="P22" t="s">
        <v>174</v>
      </c>
    </row>
    <row r="23" spans="1:17" x14ac:dyDescent="0.5">
      <c r="A23" t="s">
        <v>246</v>
      </c>
      <c r="B23" t="s">
        <v>175</v>
      </c>
      <c r="D23" s="1" t="s">
        <v>101</v>
      </c>
      <c r="E23" s="1"/>
      <c r="F23" t="s">
        <v>29</v>
      </c>
      <c r="G23" s="1" t="s">
        <v>69</v>
      </c>
      <c r="H23" t="s">
        <v>228</v>
      </c>
      <c r="K23" t="s">
        <v>247</v>
      </c>
      <c r="M23" t="b">
        <v>1</v>
      </c>
      <c r="O23" t="s">
        <v>70</v>
      </c>
      <c r="P23" t="s">
        <v>176</v>
      </c>
    </row>
    <row r="24" spans="1:17" x14ac:dyDescent="0.5">
      <c r="A24" t="s">
        <v>180</v>
      </c>
      <c r="D24" s="1" t="s">
        <v>104</v>
      </c>
      <c r="E24" s="1"/>
      <c r="F24" t="s">
        <v>30</v>
      </c>
      <c r="G24" s="1" t="s">
        <v>71</v>
      </c>
      <c r="H24" t="s">
        <v>30</v>
      </c>
      <c r="K24" t="s">
        <v>248</v>
      </c>
      <c r="M24" t="b">
        <v>1</v>
      </c>
      <c r="O24" t="s">
        <v>72</v>
      </c>
      <c r="P24" t="s">
        <v>177</v>
      </c>
    </row>
    <row r="25" spans="1:17" x14ac:dyDescent="0.5">
      <c r="A25" t="s">
        <v>190</v>
      </c>
      <c r="D25" s="1" t="s">
        <v>105</v>
      </c>
      <c r="E25" s="1"/>
      <c r="F25" t="s">
        <v>33</v>
      </c>
      <c r="G25" s="1" t="s">
        <v>73</v>
      </c>
      <c r="H25" t="s">
        <v>33</v>
      </c>
      <c r="K25" t="s">
        <v>249</v>
      </c>
      <c r="M25" t="b">
        <v>1</v>
      </c>
      <c r="O25" t="s">
        <v>74</v>
      </c>
      <c r="P25" t="s">
        <v>189</v>
      </c>
    </row>
    <row r="27" spans="1:17" x14ac:dyDescent="0.5">
      <c r="E27" t="s">
        <v>443</v>
      </c>
      <c r="F27" t="s">
        <v>537</v>
      </c>
      <c r="H27" t="s">
        <v>498</v>
      </c>
      <c r="K27" t="s">
        <v>454</v>
      </c>
    </row>
    <row r="28" spans="1:17" x14ac:dyDescent="0.5">
      <c r="E28" t="s">
        <v>442</v>
      </c>
      <c r="F28" t="s">
        <v>498</v>
      </c>
      <c r="H28" t="s">
        <v>499</v>
      </c>
      <c r="K28" t="s">
        <v>453</v>
      </c>
    </row>
    <row r="29" spans="1:17" x14ac:dyDescent="0.5">
      <c r="E29" t="s">
        <v>447</v>
      </c>
      <c r="F29" t="s">
        <v>538</v>
      </c>
      <c r="H29" t="s">
        <v>500</v>
      </c>
      <c r="K29" t="s">
        <v>456</v>
      </c>
    </row>
    <row r="30" spans="1:17" x14ac:dyDescent="0.5">
      <c r="E30" t="s">
        <v>451</v>
      </c>
      <c r="F30" t="s">
        <v>539</v>
      </c>
      <c r="H30" t="s">
        <v>501</v>
      </c>
      <c r="K30" t="s">
        <v>458</v>
      </c>
    </row>
    <row r="31" spans="1:17" x14ac:dyDescent="0.5">
      <c r="E31" t="s">
        <v>437</v>
      </c>
      <c r="F31" t="s">
        <v>540</v>
      </c>
      <c r="H31" t="s">
        <v>502</v>
      </c>
      <c r="K31" t="s">
        <v>438</v>
      </c>
    </row>
    <row r="32" spans="1:17" x14ac:dyDescent="0.5">
      <c r="E32" t="s">
        <v>468</v>
      </c>
      <c r="F32" t="s">
        <v>541</v>
      </c>
      <c r="H32" t="s">
        <v>500</v>
      </c>
      <c r="K32" t="s">
        <v>457</v>
      </c>
    </row>
    <row r="33" spans="5:11" x14ac:dyDescent="0.5">
      <c r="E33" t="s">
        <v>448</v>
      </c>
      <c r="F33" t="s">
        <v>541</v>
      </c>
      <c r="H33" t="s">
        <v>500</v>
      </c>
      <c r="K33" s="27" t="s">
        <v>457</v>
      </c>
    </row>
    <row r="34" spans="5:11" x14ac:dyDescent="0.5">
      <c r="E34" t="s">
        <v>492</v>
      </c>
      <c r="F34" t="s">
        <v>542</v>
      </c>
      <c r="H34" t="s">
        <v>503</v>
      </c>
      <c r="K34" t="s">
        <v>458</v>
      </c>
    </row>
    <row r="35" spans="5:11" x14ac:dyDescent="0.5">
      <c r="E35" t="s">
        <v>495</v>
      </c>
      <c r="F35" t="s">
        <v>542</v>
      </c>
      <c r="H35" t="s">
        <v>503</v>
      </c>
      <c r="K35" t="s">
        <v>458</v>
      </c>
    </row>
    <row r="36" spans="5:11" x14ac:dyDescent="0.5">
      <c r="E36" s="1" t="s">
        <v>479</v>
      </c>
      <c r="F36" t="s">
        <v>543</v>
      </c>
      <c r="H36" t="s">
        <v>504</v>
      </c>
      <c r="K36" t="s">
        <v>439</v>
      </c>
    </row>
    <row r="37" spans="5:11" x14ac:dyDescent="0.5">
      <c r="E37" t="s">
        <v>470</v>
      </c>
      <c r="F37" t="s">
        <v>544</v>
      </c>
      <c r="H37" t="s">
        <v>117</v>
      </c>
      <c r="K37" t="s">
        <v>457</v>
      </c>
    </row>
    <row r="38" spans="5:11" x14ac:dyDescent="0.5">
      <c r="E38" t="s">
        <v>449</v>
      </c>
      <c r="F38" t="s">
        <v>544</v>
      </c>
      <c r="H38" t="s">
        <v>117</v>
      </c>
      <c r="K38" t="s">
        <v>457</v>
      </c>
    </row>
    <row r="39" spans="5:11" x14ac:dyDescent="0.5">
      <c r="E39" t="s">
        <v>480</v>
      </c>
      <c r="F39" t="s">
        <v>545</v>
      </c>
      <c r="H39" t="s">
        <v>501</v>
      </c>
      <c r="K39" t="s">
        <v>458</v>
      </c>
    </row>
    <row r="40" spans="5:11" x14ac:dyDescent="0.5">
      <c r="E40" t="s">
        <v>493</v>
      </c>
      <c r="F40" t="s">
        <v>546</v>
      </c>
      <c r="H40" t="s">
        <v>503</v>
      </c>
      <c r="K40" t="s">
        <v>458</v>
      </c>
    </row>
    <row r="41" spans="5:11" x14ac:dyDescent="0.5">
      <c r="E41" t="s">
        <v>494</v>
      </c>
      <c r="F41" t="s">
        <v>546</v>
      </c>
      <c r="H41" t="s">
        <v>503</v>
      </c>
      <c r="K41" t="s">
        <v>458</v>
      </c>
    </row>
    <row r="42" spans="5:11" x14ac:dyDescent="0.5">
      <c r="E42" t="s">
        <v>471</v>
      </c>
      <c r="F42" t="s">
        <v>547</v>
      </c>
      <c r="H42" t="s">
        <v>117</v>
      </c>
      <c r="K42" t="s">
        <v>455</v>
      </c>
    </row>
    <row r="43" spans="5:11" x14ac:dyDescent="0.5">
      <c r="E43" t="s">
        <v>472</v>
      </c>
      <c r="F43" t="s">
        <v>547</v>
      </c>
      <c r="H43" t="s">
        <v>117</v>
      </c>
      <c r="K43" t="s">
        <v>455</v>
      </c>
    </row>
    <row r="44" spans="5:11" x14ac:dyDescent="0.5">
      <c r="E44" t="s">
        <v>461</v>
      </c>
      <c r="F44" t="s">
        <v>548</v>
      </c>
      <c r="H44" t="s">
        <v>221</v>
      </c>
      <c r="K44" t="s">
        <v>455</v>
      </c>
    </row>
    <row r="45" spans="5:11" x14ac:dyDescent="0.5">
      <c r="E45" t="s">
        <v>462</v>
      </c>
      <c r="F45" t="s">
        <v>549</v>
      </c>
      <c r="H45" t="s">
        <v>221</v>
      </c>
      <c r="K45" t="s">
        <v>455</v>
      </c>
    </row>
    <row r="46" spans="5:11" x14ac:dyDescent="0.5">
      <c r="E46" t="s">
        <v>463</v>
      </c>
      <c r="F46" t="s">
        <v>550</v>
      </c>
      <c r="H46" t="s">
        <v>221</v>
      </c>
      <c r="K46" t="s">
        <v>455</v>
      </c>
    </row>
    <row r="47" spans="5:11" x14ac:dyDescent="0.5">
      <c r="E47" t="s">
        <v>464</v>
      </c>
      <c r="F47" t="s">
        <v>551</v>
      </c>
      <c r="H47" t="s">
        <v>221</v>
      </c>
      <c r="K47" t="s">
        <v>455</v>
      </c>
    </row>
    <row r="48" spans="5:11" x14ac:dyDescent="0.5">
      <c r="E48" t="s">
        <v>450</v>
      </c>
      <c r="F48" t="s">
        <v>544</v>
      </c>
      <c r="H48" t="s">
        <v>117</v>
      </c>
      <c r="K48" t="s">
        <v>457</v>
      </c>
    </row>
    <row r="49" spans="5:11" x14ac:dyDescent="0.5">
      <c r="E49" t="s">
        <v>469</v>
      </c>
      <c r="F49" t="s">
        <v>547</v>
      </c>
      <c r="H49" t="s">
        <v>500</v>
      </c>
      <c r="K49" t="s">
        <v>455</v>
      </c>
    </row>
    <row r="50" spans="5:11" x14ac:dyDescent="0.5">
      <c r="E50" t="s">
        <v>481</v>
      </c>
      <c r="F50" t="s">
        <v>552</v>
      </c>
      <c r="H50" t="s">
        <v>501</v>
      </c>
      <c r="K50" t="s">
        <v>458</v>
      </c>
    </row>
    <row r="51" spans="5:11" x14ac:dyDescent="0.5">
      <c r="E51" t="s">
        <v>473</v>
      </c>
      <c r="F51" t="s">
        <v>548</v>
      </c>
      <c r="H51" t="s">
        <v>117</v>
      </c>
      <c r="K51" t="s">
        <v>455</v>
      </c>
    </row>
    <row r="52" spans="5:11" x14ac:dyDescent="0.5">
      <c r="E52" t="s">
        <v>444</v>
      </c>
      <c r="F52" t="s">
        <v>547</v>
      </c>
      <c r="H52" t="s">
        <v>221</v>
      </c>
      <c r="K52" t="s">
        <v>455</v>
      </c>
    </row>
    <row r="53" spans="5:11" x14ac:dyDescent="0.5">
      <c r="E53" t="s">
        <v>478</v>
      </c>
      <c r="F53" t="s">
        <v>548</v>
      </c>
      <c r="H53" t="s">
        <v>117</v>
      </c>
      <c r="K53" t="s">
        <v>455</v>
      </c>
    </row>
    <row r="54" spans="5:11" x14ac:dyDescent="0.5">
      <c r="E54" t="s">
        <v>497</v>
      </c>
      <c r="F54" t="s">
        <v>549</v>
      </c>
      <c r="H54" t="s">
        <v>117</v>
      </c>
      <c r="K54" t="s">
        <v>455</v>
      </c>
    </row>
    <row r="55" spans="5:11" x14ac:dyDescent="0.5">
      <c r="E55" t="s">
        <v>465</v>
      </c>
      <c r="F55" t="s">
        <v>549</v>
      </c>
      <c r="H55" t="s">
        <v>221</v>
      </c>
      <c r="K55" t="s">
        <v>455</v>
      </c>
    </row>
    <row r="56" spans="5:11" x14ac:dyDescent="0.5">
      <c r="E56" t="s">
        <v>466</v>
      </c>
      <c r="F56" t="s">
        <v>549</v>
      </c>
      <c r="H56" t="s">
        <v>221</v>
      </c>
      <c r="K56" t="s">
        <v>455</v>
      </c>
    </row>
    <row r="57" spans="5:11" x14ac:dyDescent="0.5">
      <c r="E57" t="s">
        <v>445</v>
      </c>
      <c r="F57" t="s">
        <v>548</v>
      </c>
      <c r="H57" t="s">
        <v>221</v>
      </c>
      <c r="K57" t="s">
        <v>455</v>
      </c>
    </row>
    <row r="58" spans="5:11" x14ac:dyDescent="0.5">
      <c r="E58" t="s">
        <v>446</v>
      </c>
      <c r="F58" t="s">
        <v>547</v>
      </c>
      <c r="H58" t="s">
        <v>221</v>
      </c>
      <c r="K58" t="s">
        <v>455</v>
      </c>
    </row>
    <row r="59" spans="5:11" x14ac:dyDescent="0.5">
      <c r="E59" t="s">
        <v>477</v>
      </c>
      <c r="F59" t="s">
        <v>548</v>
      </c>
      <c r="H59" t="s">
        <v>117</v>
      </c>
      <c r="K59" t="s">
        <v>455</v>
      </c>
    </row>
    <row r="60" spans="5:11" x14ac:dyDescent="0.5">
      <c r="E60" t="s">
        <v>482</v>
      </c>
      <c r="F60" t="s">
        <v>553</v>
      </c>
      <c r="H60" t="s">
        <v>501</v>
      </c>
      <c r="K60" t="s">
        <v>458</v>
      </c>
    </row>
    <row r="61" spans="5:11" x14ac:dyDescent="0.5">
      <c r="E61" t="s">
        <v>476</v>
      </c>
      <c r="F61" t="s">
        <v>547</v>
      </c>
      <c r="H61" t="s">
        <v>117</v>
      </c>
      <c r="K61" t="s">
        <v>455</v>
      </c>
    </row>
    <row r="62" spans="5:11" x14ac:dyDescent="0.5">
      <c r="E62" t="s">
        <v>475</v>
      </c>
      <c r="F62" t="s">
        <v>547</v>
      </c>
      <c r="H62" t="s">
        <v>117</v>
      </c>
      <c r="K62" t="s">
        <v>455</v>
      </c>
    </row>
    <row r="63" spans="5:11" x14ac:dyDescent="0.5">
      <c r="E63" t="s">
        <v>474</v>
      </c>
      <c r="F63" t="s">
        <v>548</v>
      </c>
      <c r="H63" t="s">
        <v>117</v>
      </c>
      <c r="K63" t="s">
        <v>455</v>
      </c>
    </row>
    <row r="64" spans="5:11" x14ac:dyDescent="0.5">
      <c r="E64" t="s">
        <v>467</v>
      </c>
      <c r="F64" t="s">
        <v>554</v>
      </c>
      <c r="H64" t="s">
        <v>221</v>
      </c>
      <c r="K64" t="s">
        <v>455</v>
      </c>
    </row>
    <row r="65" spans="5:11" x14ac:dyDescent="0.5">
      <c r="E65" t="s">
        <v>496</v>
      </c>
      <c r="F65" t="s">
        <v>291</v>
      </c>
      <c r="H65" t="s">
        <v>291</v>
      </c>
      <c r="K65" t="s">
        <v>459</v>
      </c>
    </row>
    <row r="66" spans="5:11" x14ac:dyDescent="0.5">
      <c r="E66" t="s">
        <v>440</v>
      </c>
      <c r="F66" t="s">
        <v>555</v>
      </c>
      <c r="H66" t="s">
        <v>441</v>
      </c>
      <c r="K66" t="s">
        <v>441</v>
      </c>
    </row>
    <row r="67" spans="5:11" x14ac:dyDescent="0.5">
      <c r="E67" t="s">
        <v>483</v>
      </c>
      <c r="F67" t="s">
        <v>291</v>
      </c>
      <c r="H67" t="s">
        <v>291</v>
      </c>
      <c r="K67" t="s">
        <v>459</v>
      </c>
    </row>
    <row r="68" spans="5:11" x14ac:dyDescent="0.5">
      <c r="E68" t="s">
        <v>484</v>
      </c>
      <c r="F68" t="s">
        <v>556</v>
      </c>
      <c r="H68" t="s">
        <v>291</v>
      </c>
      <c r="K68" t="s">
        <v>460</v>
      </c>
    </row>
    <row r="69" spans="5:11" x14ac:dyDescent="0.5">
      <c r="E69" t="s">
        <v>485</v>
      </c>
      <c r="F69" t="s">
        <v>556</v>
      </c>
      <c r="H69" t="s">
        <v>291</v>
      </c>
      <c r="K69" t="s">
        <v>460</v>
      </c>
    </row>
    <row r="70" spans="5:11" x14ac:dyDescent="0.5">
      <c r="E70" t="s">
        <v>486</v>
      </c>
      <c r="F70" t="s">
        <v>557</v>
      </c>
      <c r="H70" t="s">
        <v>291</v>
      </c>
      <c r="K70" t="s">
        <v>460</v>
      </c>
    </row>
    <row r="71" spans="5:11" x14ac:dyDescent="0.5">
      <c r="E71" t="s">
        <v>452</v>
      </c>
      <c r="F71" t="s">
        <v>557</v>
      </c>
      <c r="H71" t="s">
        <v>291</v>
      </c>
      <c r="K71" t="s">
        <v>460</v>
      </c>
    </row>
    <row r="72" spans="5:11" x14ac:dyDescent="0.5">
      <c r="E72" t="s">
        <v>487</v>
      </c>
      <c r="F72" t="s">
        <v>557</v>
      </c>
      <c r="H72" t="s">
        <v>291</v>
      </c>
      <c r="K72" t="s">
        <v>460</v>
      </c>
    </row>
    <row r="73" spans="5:11" x14ac:dyDescent="0.5">
      <c r="E73" t="s">
        <v>488</v>
      </c>
      <c r="F73" t="s">
        <v>557</v>
      </c>
      <c r="H73" t="s">
        <v>291</v>
      </c>
      <c r="K73" t="s">
        <v>460</v>
      </c>
    </row>
    <row r="74" spans="5:11" x14ac:dyDescent="0.5">
      <c r="E74" t="s">
        <v>489</v>
      </c>
      <c r="F74" t="s">
        <v>557</v>
      </c>
      <c r="H74" t="s">
        <v>291</v>
      </c>
      <c r="K74" t="s">
        <v>460</v>
      </c>
    </row>
    <row r="75" spans="5:11" x14ac:dyDescent="0.5">
      <c r="E75" t="s">
        <v>490</v>
      </c>
      <c r="F75" t="s">
        <v>558</v>
      </c>
      <c r="H75" t="s">
        <v>291</v>
      </c>
      <c r="K75" t="s">
        <v>460</v>
      </c>
    </row>
    <row r="76" spans="5:11" x14ac:dyDescent="0.5">
      <c r="E76" t="s">
        <v>491</v>
      </c>
      <c r="F76" t="s">
        <v>556</v>
      </c>
      <c r="H76" t="s">
        <v>291</v>
      </c>
      <c r="K76" t="s">
        <v>460</v>
      </c>
    </row>
  </sheetData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6FA5-EF70-4C93-8ECB-522970A92504}">
  <dimension ref="A1"/>
  <sheetViews>
    <sheetView topLeftCell="A16" workbookViewId="0"/>
  </sheetViews>
  <sheetFormatPr defaultRowHeight="15.75" x14ac:dyDescent="0.5"/>
  <sheetData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F0AM_InitConc</vt:lpstr>
      <vt:lpstr>voc reactivity</vt:lpstr>
      <vt:lpstr>comptox search for cracmm vocs</vt:lpstr>
      <vt:lpstr>F0AM CRACMM voc speciation</vt:lpstr>
      <vt:lpstr>CRACMM VOCs</vt:lpstr>
      <vt:lpstr>CRACMM VOC Reactivity</vt:lpstr>
      <vt:lpstr>JPL kOH rates</vt:lpstr>
      <vt:lpstr>CRACMM kOH</vt:lpstr>
      <vt:lpstr>F0AM_new_constraints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VANESSA SUN</cp:lastModifiedBy>
  <dcterms:created xsi:type="dcterms:W3CDTF">2025-08-26T04:28:59Z</dcterms:created>
  <dcterms:modified xsi:type="dcterms:W3CDTF">2025-11-14T03:10:48Z</dcterms:modified>
</cp:coreProperties>
</file>